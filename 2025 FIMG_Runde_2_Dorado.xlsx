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camil\Desktop\Persönliches Dossier\Universität Zürich\7. Semester\Fixed Income Markets\IA2\"/>
    </mc:Choice>
  </mc:AlternateContent>
  <xr:revisionPtr revIDLastSave="0" documentId="13_ncr:1_{0D1FA9E5-4002-441B-9241-2AE5DEF78086}" xr6:coauthVersionLast="47" xr6:coauthVersionMax="47" xr10:uidLastSave="{00000000-0000-0000-0000-000000000000}"/>
  <bookViews>
    <workbookView xWindow="-98" yWindow="-98" windowWidth="22276" windowHeight="13276" xr2:uid="{00000000-000D-0000-FFFF-FFFF00000000}"/>
  </bookViews>
  <sheets>
    <sheet name="FIM IA 2" sheetId="2" r:id="rId1"/>
    <sheet name="Daten" sheetId="4" r:id="rId2"/>
    <sheet name="Work with data" sheetId="5" r:id="rId3"/>
  </sheets>
  <definedNames>
    <definedName name="_xlnm._FilterDatabase" localSheetId="0" hidden="1">'FIM IA 2'!$E$23:$W$73</definedName>
    <definedName name="Aktuell">#REF!</definedName>
    <definedName name="Projezier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95" i="2" l="1"/>
  <c r="L93" i="2"/>
  <c r="L89" i="2"/>
  <c r="L87" i="2"/>
  <c r="L85" i="2"/>
  <c r="L83" i="2"/>
  <c r="L81" i="2"/>
  <c r="AA164" i="5"/>
  <c r="AA163" i="5"/>
  <c r="AA162" i="5"/>
  <c r="Z111" i="5" a="1"/>
  <c r="Z111" i="5" s="1"/>
  <c r="N111" i="5" a="1"/>
  <c r="N111" i="5" s="1"/>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11" i="5"/>
  <c r="F117" i="2" a="1"/>
  <c r="F117" i="2" s="1"/>
  <c r="K38" i="5"/>
  <c r="K39" i="5"/>
  <c r="K40" i="5"/>
  <c r="K41" i="5"/>
  <c r="K42" i="5"/>
  <c r="K43" i="5"/>
  <c r="K44" i="5"/>
  <c r="K45" i="5"/>
  <c r="K46" i="5"/>
  <c r="K37" i="5"/>
  <c r="P3" i="5" l="1"/>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2" i="5"/>
  <c r="O4" i="5" a="1"/>
  <c r="O4" i="5"/>
  <c r="O5" i="5" a="1"/>
  <c r="O5" i="5"/>
  <c r="O6" i="5" a="1"/>
  <c r="O6" i="5"/>
  <c r="O7" i="5" a="1"/>
  <c r="O7" i="5"/>
  <c r="O8" i="5" a="1"/>
  <c r="O8" i="5"/>
  <c r="O9" i="5" a="1"/>
  <c r="O9" i="5"/>
  <c r="O10" i="5" a="1"/>
  <c r="O10" i="5"/>
  <c r="O11" i="5" a="1"/>
  <c r="O11" i="5"/>
  <c r="O12" i="5" a="1"/>
  <c r="O12" i="5"/>
  <c r="O13" i="5" a="1"/>
  <c r="O13" i="5"/>
  <c r="O14" i="5" a="1"/>
  <c r="O14" i="5"/>
  <c r="O15" i="5" a="1"/>
  <c r="O15" i="5"/>
  <c r="O16" i="5" a="1"/>
  <c r="O16" i="5"/>
  <c r="O17" i="5" a="1"/>
  <c r="O17" i="5"/>
  <c r="O18" i="5" a="1"/>
  <c r="O18" i="5"/>
  <c r="O19" i="5" a="1"/>
  <c r="O19" i="5"/>
  <c r="O20" i="5" a="1"/>
  <c r="O20" i="5"/>
  <c r="O21" i="5" a="1"/>
  <c r="O21" i="5"/>
  <c r="O22" i="5" a="1"/>
  <c r="O22" i="5"/>
  <c r="O23" i="5" a="1"/>
  <c r="O23" i="5"/>
  <c r="O24" i="5" a="1"/>
  <c r="O24" i="5"/>
  <c r="O25" i="5" a="1"/>
  <c r="O25" i="5"/>
  <c r="O26" i="5" a="1"/>
  <c r="O26" i="5"/>
  <c r="O27" i="5" a="1"/>
  <c r="O27" i="5"/>
  <c r="O28" i="5" a="1"/>
  <c r="O28" i="5"/>
  <c r="O29" i="5" a="1"/>
  <c r="O29" i="5"/>
  <c r="O30" i="5" a="1"/>
  <c r="O30" i="5"/>
  <c r="O31" i="5" a="1"/>
  <c r="O31" i="5"/>
  <c r="O32" i="5" a="1"/>
  <c r="O32" i="5"/>
  <c r="O33" i="5" a="1"/>
  <c r="O33" i="5"/>
  <c r="O3" i="5" a="1"/>
  <c r="O3" i="5" s="1"/>
  <c r="O2" i="5"/>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2" i="5"/>
  <c r="N4" i="5" a="1"/>
  <c r="N4" i="5"/>
  <c r="N5" i="5" a="1"/>
  <c r="N5" i="5"/>
  <c r="N6" i="5" a="1"/>
  <c r="N6" i="5"/>
  <c r="N7" i="5" a="1"/>
  <c r="N7" i="5"/>
  <c r="N8" i="5" a="1"/>
  <c r="N8" i="5"/>
  <c r="N9" i="5" a="1"/>
  <c r="N9" i="5"/>
  <c r="N10" i="5" a="1"/>
  <c r="N10" i="5"/>
  <c r="N11" i="5" a="1"/>
  <c r="N11" i="5"/>
  <c r="N12" i="5" a="1"/>
  <c r="N12" i="5"/>
  <c r="N13" i="5" a="1"/>
  <c r="N13" i="5"/>
  <c r="N14" i="5" a="1"/>
  <c r="N14" i="5"/>
  <c r="N15" i="5" a="1"/>
  <c r="N15" i="5"/>
  <c r="N16" i="5" a="1"/>
  <c r="N16" i="5"/>
  <c r="N17" i="5" a="1"/>
  <c r="N17" i="5"/>
  <c r="N18" i="5" a="1"/>
  <c r="N18" i="5"/>
  <c r="N19" i="5" a="1"/>
  <c r="N19" i="5"/>
  <c r="N20" i="5" a="1"/>
  <c r="N20" i="5"/>
  <c r="N21" i="5" a="1"/>
  <c r="N21" i="5"/>
  <c r="N22" i="5" a="1"/>
  <c r="N22" i="5"/>
  <c r="N23" i="5" a="1"/>
  <c r="N23" i="5"/>
  <c r="N24" i="5" a="1"/>
  <c r="N24" i="5"/>
  <c r="N25" i="5" a="1"/>
  <c r="N25" i="5"/>
  <c r="N26" i="5" a="1"/>
  <c r="N26" i="5"/>
  <c r="N27" i="5" a="1"/>
  <c r="N27" i="5"/>
  <c r="N28" i="5" a="1"/>
  <c r="N28" i="5"/>
  <c r="N29" i="5" a="1"/>
  <c r="N29" i="5"/>
  <c r="N30" i="5" a="1"/>
  <c r="N30" i="5"/>
  <c r="N31" i="5" a="1"/>
  <c r="N31" i="5"/>
  <c r="N32" i="5" a="1"/>
  <c r="N32" i="5"/>
  <c r="N33" i="5" a="1"/>
  <c r="N33" i="5"/>
  <c r="N3" i="5" a="1"/>
  <c r="N3" i="5" s="1"/>
  <c r="N2" i="5"/>
  <c r="H109" i="2" l="1"/>
  <c r="F109" i="2"/>
  <c r="H105" i="2"/>
  <c r="H107" i="2" s="1"/>
  <c r="F105" i="2"/>
  <c r="H97" i="2"/>
  <c r="L97" i="2" s="1"/>
  <c r="C73" i="5"/>
  <c r="C52" i="5"/>
  <c r="C53" i="5"/>
  <c r="C54" i="5"/>
  <c r="C55" i="5"/>
  <c r="C56" i="5"/>
  <c r="C57" i="5"/>
  <c r="C58" i="5"/>
  <c r="C59" i="5"/>
  <c r="C60" i="5"/>
  <c r="C61" i="5"/>
  <c r="C62" i="5"/>
  <c r="C63" i="5"/>
  <c r="C64" i="5"/>
  <c r="C65" i="5"/>
  <c r="C66" i="5"/>
  <c r="C67" i="5"/>
  <c r="C68" i="5"/>
  <c r="C69" i="5"/>
  <c r="C70" i="5"/>
  <c r="C71" i="5"/>
  <c r="C72" i="5"/>
  <c r="C51" i="5"/>
  <c r="H95" i="2"/>
  <c r="H93" i="2"/>
  <c r="H91" i="2"/>
  <c r="H89" i="2"/>
  <c r="H87" i="2"/>
  <c r="H85" i="2"/>
  <c r="J16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11" i="5"/>
  <c r="I16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11" i="5"/>
  <c r="V25" i="2"/>
  <c r="W25" i="2" s="1"/>
  <c r="V26" i="2"/>
  <c r="W26" i="2" s="1"/>
  <c r="V27" i="2"/>
  <c r="V28" i="2"/>
  <c r="V29" i="2"/>
  <c r="W29" i="2" s="1"/>
  <c r="V30" i="2"/>
  <c r="W30" i="2" s="1"/>
  <c r="V31" i="2"/>
  <c r="W31" i="2" s="1"/>
  <c r="V32" i="2"/>
  <c r="W32" i="2" s="1"/>
  <c r="V33" i="2"/>
  <c r="W33" i="2" s="1"/>
  <c r="V34" i="2"/>
  <c r="W34" i="2" s="1"/>
  <c r="V35" i="2"/>
  <c r="W35" i="2" s="1"/>
  <c r="V36" i="2"/>
  <c r="W36" i="2" s="1"/>
  <c r="V37" i="2"/>
  <c r="W37" i="2" s="1"/>
  <c r="V38" i="2"/>
  <c r="W38" i="2" s="1"/>
  <c r="V39" i="2"/>
  <c r="W39" i="2" s="1"/>
  <c r="V40" i="2"/>
  <c r="W40" i="2" s="1"/>
  <c r="V41" i="2"/>
  <c r="W41" i="2" s="1"/>
  <c r="V42" i="2"/>
  <c r="W42" i="2" s="1"/>
  <c r="V43" i="2"/>
  <c r="V44" i="2"/>
  <c r="V45" i="2"/>
  <c r="W45" i="2" s="1"/>
  <c r="V46" i="2"/>
  <c r="W46" i="2" s="1"/>
  <c r="V47" i="2"/>
  <c r="W47" i="2" s="1"/>
  <c r="V48" i="2"/>
  <c r="W48" i="2" s="1"/>
  <c r="V49" i="2"/>
  <c r="W49" i="2" s="1"/>
  <c r="V50" i="2"/>
  <c r="W50" i="2" s="1"/>
  <c r="V51" i="2"/>
  <c r="W51" i="2" s="1"/>
  <c r="V52" i="2"/>
  <c r="W52" i="2" s="1"/>
  <c r="V53" i="2"/>
  <c r="W53" i="2" s="1"/>
  <c r="V54" i="2"/>
  <c r="W54" i="2" s="1"/>
  <c r="V55" i="2"/>
  <c r="W55" i="2" s="1"/>
  <c r="V56" i="2"/>
  <c r="W56" i="2" s="1"/>
  <c r="V57" i="2"/>
  <c r="W57" i="2" s="1"/>
  <c r="V58" i="2"/>
  <c r="W58" i="2" s="1"/>
  <c r="V59" i="2"/>
  <c r="W59" i="2" s="1"/>
  <c r="V60" i="2"/>
  <c r="W60" i="2" s="1"/>
  <c r="V61" i="2"/>
  <c r="W61" i="2" s="1"/>
  <c r="V62" i="2"/>
  <c r="W62" i="2" s="1"/>
  <c r="V63" i="2"/>
  <c r="W63" i="2" s="1"/>
  <c r="V64" i="2"/>
  <c r="W64" i="2" s="1"/>
  <c r="V65" i="2"/>
  <c r="W65" i="2" s="1"/>
  <c r="V66" i="2"/>
  <c r="W66" i="2" s="1"/>
  <c r="V67" i="2"/>
  <c r="W67" i="2" s="1"/>
  <c r="V68" i="2"/>
  <c r="W68" i="2" s="1"/>
  <c r="V69" i="2"/>
  <c r="W69" i="2" s="1"/>
  <c r="V70" i="2"/>
  <c r="W70" i="2" s="1"/>
  <c r="V71" i="2"/>
  <c r="W71" i="2" s="1"/>
  <c r="V72" i="2"/>
  <c r="W72" i="2" s="1"/>
  <c r="V73" i="2"/>
  <c r="W73" i="2" s="1"/>
  <c r="V24" i="2"/>
  <c r="W24" i="2" s="1"/>
  <c r="B111" i="5" a="1"/>
  <c r="B111" i="5" s="1"/>
  <c r="A111" i="5" a="1"/>
  <c r="A111" i="5" s="1"/>
  <c r="I38" i="5"/>
  <c r="I39" i="5"/>
  <c r="F85" i="2" s="1"/>
  <c r="I40" i="5"/>
  <c r="I41" i="5"/>
  <c r="I42" i="5"/>
  <c r="I43" i="5"/>
  <c r="I44" i="5"/>
  <c r="I45" i="5"/>
  <c r="I46" i="5"/>
  <c r="I37" i="5"/>
  <c r="H83" i="2"/>
  <c r="W27" i="2"/>
  <c r="W28" i="2"/>
  <c r="W43" i="2"/>
  <c r="W44" i="2"/>
  <c r="B108" i="5" a="1"/>
  <c r="B108" i="5"/>
  <c r="C108" i="5" a="1"/>
  <c r="C108" i="5"/>
  <c r="D108" i="5" a="1"/>
  <c r="D108" i="5"/>
  <c r="E108" i="5" a="1"/>
  <c r="E108" i="5"/>
  <c r="F108" i="5" a="1"/>
  <c r="F108" i="5"/>
  <c r="G108" i="5" a="1"/>
  <c r="G108" i="5"/>
  <c r="H108" i="5" a="1"/>
  <c r="H108" i="5"/>
  <c r="I108" i="5" a="1"/>
  <c r="I108" i="5"/>
  <c r="J108" i="5" a="1"/>
  <c r="J108" i="5"/>
  <c r="K108" i="5" a="1"/>
  <c r="K108" i="5"/>
  <c r="L108" i="5" a="1"/>
  <c r="L108" i="5"/>
  <c r="M108" i="5" a="1"/>
  <c r="M108" i="5"/>
  <c r="N108" i="5" a="1"/>
  <c r="N108" i="5"/>
  <c r="O108" i="5" a="1"/>
  <c r="O108" i="5"/>
  <c r="P108" i="5" a="1"/>
  <c r="P108" i="5"/>
  <c r="Q108" i="5" a="1"/>
  <c r="Q108" i="5"/>
  <c r="R108" i="5" a="1"/>
  <c r="R108" i="5"/>
  <c r="S108" i="5" a="1"/>
  <c r="S108" i="5"/>
  <c r="T108" i="5" a="1"/>
  <c r="T108" i="5"/>
  <c r="U108" i="5" a="1"/>
  <c r="U108" i="5"/>
  <c r="V108" i="5" a="1"/>
  <c r="V108" i="5"/>
  <c r="W108" i="5" a="1"/>
  <c r="W108" i="5"/>
  <c r="X108" i="5" a="1"/>
  <c r="X108" i="5"/>
  <c r="Y108" i="5" a="1"/>
  <c r="Y108" i="5"/>
  <c r="Z108" i="5" a="1"/>
  <c r="Z108" i="5"/>
  <c r="AA108" i="5" a="1"/>
  <c r="AA108" i="5"/>
  <c r="AB108" i="5" a="1"/>
  <c r="AB108" i="5"/>
  <c r="AC108" i="5" a="1"/>
  <c r="AC108" i="5"/>
  <c r="AD108" i="5" a="1"/>
  <c r="AD108" i="5"/>
  <c r="AE108" i="5" a="1"/>
  <c r="AE108" i="5"/>
  <c r="AF108" i="5" a="1"/>
  <c r="AF108" i="5"/>
  <c r="AG108" i="5" a="1"/>
  <c r="AG108" i="5"/>
  <c r="AH108" i="5" a="1"/>
  <c r="AH108" i="5"/>
  <c r="AI108" i="5" a="1"/>
  <c r="AI108" i="5"/>
  <c r="AJ108" i="5" a="1"/>
  <c r="AJ108" i="5"/>
  <c r="AK108" i="5" a="1"/>
  <c r="AK108" i="5"/>
  <c r="AL108" i="5" a="1"/>
  <c r="AL108" i="5"/>
  <c r="AM108" i="5" a="1"/>
  <c r="AM108" i="5"/>
  <c r="AN108" i="5" a="1"/>
  <c r="AN108" i="5"/>
  <c r="AO108" i="5" a="1"/>
  <c r="AO108" i="5"/>
  <c r="AP108" i="5" a="1"/>
  <c r="AP108" i="5"/>
  <c r="AQ108" i="5" a="1"/>
  <c r="AQ108" i="5"/>
  <c r="AR108" i="5" a="1"/>
  <c r="AR108" i="5"/>
  <c r="AS108" i="5" a="1"/>
  <c r="AS108" i="5"/>
  <c r="AT108" i="5" a="1"/>
  <c r="AT108" i="5"/>
  <c r="AU108" i="5" a="1"/>
  <c r="AU108" i="5"/>
  <c r="AV108" i="5" a="1"/>
  <c r="AV108" i="5"/>
  <c r="AW108" i="5" a="1"/>
  <c r="AW108" i="5"/>
  <c r="AX108" i="5" a="1"/>
  <c r="AX108" i="5"/>
  <c r="AY108" i="5" a="1"/>
  <c r="AY108" i="5"/>
  <c r="A108" i="5" a="1"/>
  <c r="A108" i="5" s="1"/>
  <c r="AY77" i="5"/>
  <c r="AY78" i="5"/>
  <c r="AY79" i="5"/>
  <c r="AY80" i="5"/>
  <c r="AY81" i="5"/>
  <c r="AY82" i="5"/>
  <c r="AY83" i="5"/>
  <c r="AY84" i="5"/>
  <c r="AY85" i="5"/>
  <c r="AY86" i="5"/>
  <c r="AY87" i="5"/>
  <c r="AY88" i="5"/>
  <c r="AY89" i="5"/>
  <c r="AY90" i="5"/>
  <c r="AY91" i="5"/>
  <c r="AY92" i="5"/>
  <c r="AY93" i="5"/>
  <c r="AY94" i="5"/>
  <c r="AY95" i="5"/>
  <c r="AY96" i="5"/>
  <c r="AY97" i="5"/>
  <c r="AY98" i="5"/>
  <c r="AY99" i="5"/>
  <c r="AY100" i="5"/>
  <c r="AY101" i="5"/>
  <c r="AY102" i="5"/>
  <c r="AY103" i="5"/>
  <c r="AY104" i="5"/>
  <c r="AY105" i="5"/>
  <c r="AY106" i="5"/>
  <c r="AY107" i="5"/>
  <c r="AY76" i="5"/>
  <c r="B77" i="5"/>
  <c r="C77" i="5"/>
  <c r="D77" i="5"/>
  <c r="E77" i="5"/>
  <c r="F77" i="5"/>
  <c r="G77" i="5"/>
  <c r="H77" i="5"/>
  <c r="I77" i="5"/>
  <c r="J77" i="5"/>
  <c r="K77" i="5"/>
  <c r="L77" i="5"/>
  <c r="M77" i="5"/>
  <c r="N77" i="5"/>
  <c r="O77" i="5"/>
  <c r="P77" i="5"/>
  <c r="Q77" i="5"/>
  <c r="R77" i="5"/>
  <c r="S77" i="5"/>
  <c r="T77" i="5"/>
  <c r="U77" i="5"/>
  <c r="V77" i="5"/>
  <c r="W77" i="5"/>
  <c r="X77" i="5"/>
  <c r="Y77" i="5"/>
  <c r="Z77" i="5"/>
  <c r="AA77" i="5"/>
  <c r="AB77" i="5"/>
  <c r="AC77" i="5"/>
  <c r="AD77" i="5"/>
  <c r="AE77" i="5"/>
  <c r="AF77" i="5"/>
  <c r="AG77" i="5"/>
  <c r="AH77" i="5"/>
  <c r="AI77" i="5"/>
  <c r="AJ77" i="5"/>
  <c r="AK77" i="5"/>
  <c r="AL77" i="5"/>
  <c r="AM77" i="5"/>
  <c r="AN77" i="5"/>
  <c r="AO77" i="5"/>
  <c r="AP77" i="5"/>
  <c r="AQ77" i="5"/>
  <c r="AR77" i="5"/>
  <c r="AS77" i="5"/>
  <c r="AT77" i="5"/>
  <c r="AU77" i="5"/>
  <c r="AV77" i="5"/>
  <c r="AW77" i="5"/>
  <c r="AX77" i="5"/>
  <c r="B78" i="5"/>
  <c r="C78" i="5"/>
  <c r="D78" i="5"/>
  <c r="E78" i="5"/>
  <c r="F78" i="5"/>
  <c r="G78" i="5"/>
  <c r="H78" i="5"/>
  <c r="I78" i="5"/>
  <c r="J78" i="5"/>
  <c r="K78" i="5"/>
  <c r="L78" i="5"/>
  <c r="M78" i="5"/>
  <c r="N78" i="5"/>
  <c r="O78" i="5"/>
  <c r="P78" i="5"/>
  <c r="Q78" i="5"/>
  <c r="R78" i="5"/>
  <c r="S78" i="5"/>
  <c r="T78" i="5"/>
  <c r="U78" i="5"/>
  <c r="V78" i="5"/>
  <c r="W78" i="5"/>
  <c r="X78" i="5"/>
  <c r="Y78" i="5"/>
  <c r="Z78" i="5"/>
  <c r="AA78" i="5"/>
  <c r="AB78" i="5"/>
  <c r="AC78" i="5"/>
  <c r="AD78" i="5"/>
  <c r="AE78" i="5"/>
  <c r="AF78" i="5"/>
  <c r="AG78" i="5"/>
  <c r="AH78" i="5"/>
  <c r="AI78" i="5"/>
  <c r="AJ78" i="5"/>
  <c r="AK78" i="5"/>
  <c r="AL78" i="5"/>
  <c r="AM78" i="5"/>
  <c r="AN78" i="5"/>
  <c r="AO78" i="5"/>
  <c r="AP78" i="5"/>
  <c r="AQ78" i="5"/>
  <c r="AR78" i="5"/>
  <c r="AS78" i="5"/>
  <c r="AT78" i="5"/>
  <c r="AU78" i="5"/>
  <c r="AV78" i="5"/>
  <c r="AW78" i="5"/>
  <c r="AX78" i="5"/>
  <c r="B79" i="5"/>
  <c r="C79" i="5"/>
  <c r="D79" i="5"/>
  <c r="E79" i="5"/>
  <c r="F79" i="5"/>
  <c r="G79" i="5"/>
  <c r="H79" i="5"/>
  <c r="I79" i="5"/>
  <c r="J79" i="5"/>
  <c r="K79" i="5"/>
  <c r="L79" i="5"/>
  <c r="M79" i="5"/>
  <c r="N79" i="5"/>
  <c r="O79" i="5"/>
  <c r="P79" i="5"/>
  <c r="Q79" i="5"/>
  <c r="R79" i="5"/>
  <c r="S79" i="5"/>
  <c r="T79" i="5"/>
  <c r="U79" i="5"/>
  <c r="V79" i="5"/>
  <c r="W79" i="5"/>
  <c r="X79" i="5"/>
  <c r="Y79" i="5"/>
  <c r="Z79" i="5"/>
  <c r="AA79" i="5"/>
  <c r="AB79" i="5"/>
  <c r="AC79" i="5"/>
  <c r="AD79" i="5"/>
  <c r="AE79" i="5"/>
  <c r="AF79" i="5"/>
  <c r="AG79" i="5"/>
  <c r="AH79" i="5"/>
  <c r="AI79" i="5"/>
  <c r="AJ79" i="5"/>
  <c r="AK79" i="5"/>
  <c r="AL79" i="5"/>
  <c r="AM79" i="5"/>
  <c r="AN79" i="5"/>
  <c r="AO79" i="5"/>
  <c r="AP79" i="5"/>
  <c r="AQ79" i="5"/>
  <c r="AR79" i="5"/>
  <c r="AS79" i="5"/>
  <c r="AT79" i="5"/>
  <c r="AU79" i="5"/>
  <c r="AV79" i="5"/>
  <c r="AW79" i="5"/>
  <c r="AX79" i="5"/>
  <c r="B80" i="5"/>
  <c r="C80" i="5"/>
  <c r="D80" i="5"/>
  <c r="E80" i="5"/>
  <c r="F80" i="5"/>
  <c r="G80" i="5"/>
  <c r="H80" i="5"/>
  <c r="I80" i="5"/>
  <c r="J80" i="5"/>
  <c r="K80" i="5"/>
  <c r="L80" i="5"/>
  <c r="M80" i="5"/>
  <c r="N80" i="5"/>
  <c r="O80" i="5"/>
  <c r="P80" i="5"/>
  <c r="Q80" i="5"/>
  <c r="R80" i="5"/>
  <c r="S80" i="5"/>
  <c r="T80" i="5"/>
  <c r="U80" i="5"/>
  <c r="V80" i="5"/>
  <c r="W80" i="5"/>
  <c r="X80" i="5"/>
  <c r="Y80" i="5"/>
  <c r="Z80" i="5"/>
  <c r="AA80" i="5"/>
  <c r="AB80" i="5"/>
  <c r="AC80" i="5"/>
  <c r="AD80" i="5"/>
  <c r="AE80" i="5"/>
  <c r="AF80" i="5"/>
  <c r="AG80" i="5"/>
  <c r="AH80" i="5"/>
  <c r="AI80" i="5"/>
  <c r="AJ80" i="5"/>
  <c r="AK80" i="5"/>
  <c r="AL80" i="5"/>
  <c r="AM80" i="5"/>
  <c r="AN80" i="5"/>
  <c r="AO80" i="5"/>
  <c r="AP80" i="5"/>
  <c r="AQ80" i="5"/>
  <c r="AR80" i="5"/>
  <c r="AS80" i="5"/>
  <c r="AT80" i="5"/>
  <c r="AU80" i="5"/>
  <c r="AV80" i="5"/>
  <c r="AW80" i="5"/>
  <c r="AX80" i="5"/>
  <c r="B81" i="5"/>
  <c r="C81" i="5"/>
  <c r="D81" i="5"/>
  <c r="E81" i="5"/>
  <c r="F81" i="5"/>
  <c r="G81" i="5"/>
  <c r="H81" i="5"/>
  <c r="I81" i="5"/>
  <c r="J81" i="5"/>
  <c r="K81" i="5"/>
  <c r="L81" i="5"/>
  <c r="M81" i="5"/>
  <c r="N81" i="5"/>
  <c r="O81" i="5"/>
  <c r="P81" i="5"/>
  <c r="Q81" i="5"/>
  <c r="R81" i="5"/>
  <c r="S81" i="5"/>
  <c r="T81" i="5"/>
  <c r="U81" i="5"/>
  <c r="V81" i="5"/>
  <c r="W81" i="5"/>
  <c r="X81" i="5"/>
  <c r="Y81" i="5"/>
  <c r="Z81" i="5"/>
  <c r="AA81" i="5"/>
  <c r="AB81" i="5"/>
  <c r="AC81" i="5"/>
  <c r="AD81" i="5"/>
  <c r="AE81" i="5"/>
  <c r="AF81" i="5"/>
  <c r="AG81" i="5"/>
  <c r="AH81" i="5"/>
  <c r="AI81" i="5"/>
  <c r="AJ81" i="5"/>
  <c r="AK81" i="5"/>
  <c r="AL81" i="5"/>
  <c r="AM81" i="5"/>
  <c r="AN81" i="5"/>
  <c r="AO81" i="5"/>
  <c r="AP81" i="5"/>
  <c r="AQ81" i="5"/>
  <c r="AR81" i="5"/>
  <c r="AS81" i="5"/>
  <c r="AT81" i="5"/>
  <c r="AU81" i="5"/>
  <c r="AV81" i="5"/>
  <c r="AW81" i="5"/>
  <c r="AX81" i="5"/>
  <c r="B82" i="5"/>
  <c r="C82" i="5"/>
  <c r="D82" i="5"/>
  <c r="E82" i="5"/>
  <c r="F82" i="5"/>
  <c r="G82" i="5"/>
  <c r="H82" i="5"/>
  <c r="I82" i="5"/>
  <c r="J82" i="5"/>
  <c r="K82" i="5"/>
  <c r="L82" i="5"/>
  <c r="M82" i="5"/>
  <c r="N82" i="5"/>
  <c r="O82" i="5"/>
  <c r="P82" i="5"/>
  <c r="Q82" i="5"/>
  <c r="R82" i="5"/>
  <c r="S82" i="5"/>
  <c r="T82" i="5"/>
  <c r="U82" i="5"/>
  <c r="V82" i="5"/>
  <c r="W82" i="5"/>
  <c r="X82" i="5"/>
  <c r="Y82" i="5"/>
  <c r="Z82" i="5"/>
  <c r="AA82" i="5"/>
  <c r="AB82" i="5"/>
  <c r="AC82" i="5"/>
  <c r="AD82" i="5"/>
  <c r="AE82" i="5"/>
  <c r="AF82" i="5"/>
  <c r="AG82" i="5"/>
  <c r="AH82" i="5"/>
  <c r="AI82" i="5"/>
  <c r="AJ82" i="5"/>
  <c r="AK82" i="5"/>
  <c r="AL82" i="5"/>
  <c r="AM82" i="5"/>
  <c r="AN82" i="5"/>
  <c r="AO82" i="5"/>
  <c r="AP82" i="5"/>
  <c r="AQ82" i="5"/>
  <c r="AR82" i="5"/>
  <c r="AS82" i="5"/>
  <c r="AT82" i="5"/>
  <c r="AU82" i="5"/>
  <c r="AV82" i="5"/>
  <c r="AW82" i="5"/>
  <c r="AX82" i="5"/>
  <c r="B83" i="5"/>
  <c r="C83" i="5"/>
  <c r="D83" i="5"/>
  <c r="E83" i="5"/>
  <c r="F83" i="5"/>
  <c r="G83" i="5"/>
  <c r="H83" i="5"/>
  <c r="I83" i="5"/>
  <c r="J83" i="5"/>
  <c r="K83" i="5"/>
  <c r="L83" i="5"/>
  <c r="M83" i="5"/>
  <c r="N83" i="5"/>
  <c r="O83" i="5"/>
  <c r="P83" i="5"/>
  <c r="Q83" i="5"/>
  <c r="R83" i="5"/>
  <c r="S83" i="5"/>
  <c r="T83" i="5"/>
  <c r="U83" i="5"/>
  <c r="V83" i="5"/>
  <c r="W83" i="5"/>
  <c r="X83" i="5"/>
  <c r="Y83" i="5"/>
  <c r="Z83" i="5"/>
  <c r="AA83" i="5"/>
  <c r="AB83" i="5"/>
  <c r="AC83" i="5"/>
  <c r="AD83" i="5"/>
  <c r="AE83" i="5"/>
  <c r="AF83" i="5"/>
  <c r="AG83" i="5"/>
  <c r="AH83" i="5"/>
  <c r="AI83" i="5"/>
  <c r="AJ83" i="5"/>
  <c r="AK83" i="5"/>
  <c r="AL83" i="5"/>
  <c r="AM83" i="5"/>
  <c r="AN83" i="5"/>
  <c r="AO83" i="5"/>
  <c r="AP83" i="5"/>
  <c r="AQ83" i="5"/>
  <c r="AR83" i="5"/>
  <c r="AS83" i="5"/>
  <c r="AT83" i="5"/>
  <c r="AU83" i="5"/>
  <c r="AV83" i="5"/>
  <c r="AW83" i="5"/>
  <c r="AX83" i="5"/>
  <c r="B84" i="5"/>
  <c r="C84" i="5"/>
  <c r="D84" i="5"/>
  <c r="E84" i="5"/>
  <c r="F84" i="5"/>
  <c r="G84" i="5"/>
  <c r="H84" i="5"/>
  <c r="I84" i="5"/>
  <c r="J84" i="5"/>
  <c r="K84" i="5"/>
  <c r="L84" i="5"/>
  <c r="M84" i="5"/>
  <c r="N84" i="5"/>
  <c r="O84" i="5"/>
  <c r="P84" i="5"/>
  <c r="Q84" i="5"/>
  <c r="R84" i="5"/>
  <c r="S84" i="5"/>
  <c r="T84" i="5"/>
  <c r="U84" i="5"/>
  <c r="V84" i="5"/>
  <c r="W84" i="5"/>
  <c r="X84" i="5"/>
  <c r="Y84" i="5"/>
  <c r="Z84" i="5"/>
  <c r="AA84" i="5"/>
  <c r="AB84" i="5"/>
  <c r="AC84" i="5"/>
  <c r="AD84" i="5"/>
  <c r="AE84" i="5"/>
  <c r="AF84" i="5"/>
  <c r="AG84" i="5"/>
  <c r="AH84" i="5"/>
  <c r="AI84" i="5"/>
  <c r="AJ84" i="5"/>
  <c r="AK84" i="5"/>
  <c r="AL84" i="5"/>
  <c r="AM84" i="5"/>
  <c r="AN84" i="5"/>
  <c r="AO84" i="5"/>
  <c r="AP84" i="5"/>
  <c r="AQ84" i="5"/>
  <c r="AR84" i="5"/>
  <c r="AS84" i="5"/>
  <c r="AT84" i="5"/>
  <c r="AU84" i="5"/>
  <c r="AV84" i="5"/>
  <c r="AW84" i="5"/>
  <c r="AX84" i="5"/>
  <c r="B85" i="5"/>
  <c r="C85" i="5"/>
  <c r="D85" i="5"/>
  <c r="E85" i="5"/>
  <c r="F85" i="5"/>
  <c r="G85" i="5"/>
  <c r="H85" i="5"/>
  <c r="I85" i="5"/>
  <c r="J85" i="5"/>
  <c r="K85" i="5"/>
  <c r="L85" i="5"/>
  <c r="M85" i="5"/>
  <c r="N85" i="5"/>
  <c r="O85" i="5"/>
  <c r="P85" i="5"/>
  <c r="Q85" i="5"/>
  <c r="R85" i="5"/>
  <c r="S85" i="5"/>
  <c r="T85" i="5"/>
  <c r="U85" i="5"/>
  <c r="V85" i="5"/>
  <c r="W85" i="5"/>
  <c r="X85" i="5"/>
  <c r="Y85" i="5"/>
  <c r="Z85" i="5"/>
  <c r="AA85" i="5"/>
  <c r="AB85" i="5"/>
  <c r="AC85" i="5"/>
  <c r="AD85" i="5"/>
  <c r="AE85" i="5"/>
  <c r="AF85" i="5"/>
  <c r="AG85" i="5"/>
  <c r="AH85" i="5"/>
  <c r="AI85" i="5"/>
  <c r="AJ85" i="5"/>
  <c r="AK85" i="5"/>
  <c r="AL85" i="5"/>
  <c r="AM85" i="5"/>
  <c r="AN85" i="5"/>
  <c r="AO85" i="5"/>
  <c r="AP85" i="5"/>
  <c r="AQ85" i="5"/>
  <c r="AR85" i="5"/>
  <c r="AS85" i="5"/>
  <c r="AT85" i="5"/>
  <c r="AU85" i="5"/>
  <c r="AV85" i="5"/>
  <c r="AW85" i="5"/>
  <c r="AX85" i="5"/>
  <c r="B86" i="5"/>
  <c r="C86" i="5"/>
  <c r="D86" i="5"/>
  <c r="E86" i="5"/>
  <c r="F86" i="5"/>
  <c r="G86" i="5"/>
  <c r="H86" i="5"/>
  <c r="I86" i="5"/>
  <c r="J86" i="5"/>
  <c r="K86" i="5"/>
  <c r="L86" i="5"/>
  <c r="M86" i="5"/>
  <c r="N86" i="5"/>
  <c r="O86" i="5"/>
  <c r="P86" i="5"/>
  <c r="Q86" i="5"/>
  <c r="R86" i="5"/>
  <c r="S86" i="5"/>
  <c r="T86" i="5"/>
  <c r="U86" i="5"/>
  <c r="V86" i="5"/>
  <c r="W86" i="5"/>
  <c r="X86" i="5"/>
  <c r="Y86" i="5"/>
  <c r="Z86" i="5"/>
  <c r="AA86" i="5"/>
  <c r="AB86" i="5"/>
  <c r="AC86" i="5"/>
  <c r="AD86" i="5"/>
  <c r="AE86" i="5"/>
  <c r="AF86" i="5"/>
  <c r="AG86" i="5"/>
  <c r="AH86" i="5"/>
  <c r="AI86" i="5"/>
  <c r="AJ86" i="5"/>
  <c r="AK86" i="5"/>
  <c r="AL86" i="5"/>
  <c r="AM86" i="5"/>
  <c r="AN86" i="5"/>
  <c r="AO86" i="5"/>
  <c r="AP86" i="5"/>
  <c r="AQ86" i="5"/>
  <c r="AR86" i="5"/>
  <c r="AS86" i="5"/>
  <c r="AT86" i="5"/>
  <c r="AU86" i="5"/>
  <c r="AV86" i="5"/>
  <c r="AW86" i="5"/>
  <c r="AX86" i="5"/>
  <c r="B87" i="5"/>
  <c r="C87" i="5"/>
  <c r="D87" i="5"/>
  <c r="E87" i="5"/>
  <c r="F87" i="5"/>
  <c r="G87" i="5"/>
  <c r="H87" i="5"/>
  <c r="I87" i="5"/>
  <c r="J87" i="5"/>
  <c r="K87" i="5"/>
  <c r="L87" i="5"/>
  <c r="M87" i="5"/>
  <c r="N87" i="5"/>
  <c r="O87" i="5"/>
  <c r="P87" i="5"/>
  <c r="Q87" i="5"/>
  <c r="R87" i="5"/>
  <c r="S87" i="5"/>
  <c r="T87" i="5"/>
  <c r="U87" i="5"/>
  <c r="V87" i="5"/>
  <c r="W87" i="5"/>
  <c r="X87" i="5"/>
  <c r="Y87" i="5"/>
  <c r="Z87" i="5"/>
  <c r="AA87" i="5"/>
  <c r="AB87" i="5"/>
  <c r="AC87" i="5"/>
  <c r="AD87" i="5"/>
  <c r="AE87" i="5"/>
  <c r="AF87" i="5"/>
  <c r="AG87" i="5"/>
  <c r="AH87" i="5"/>
  <c r="AI87" i="5"/>
  <c r="AJ87" i="5"/>
  <c r="AK87" i="5"/>
  <c r="AL87" i="5"/>
  <c r="AM87" i="5"/>
  <c r="AN87" i="5"/>
  <c r="AO87" i="5"/>
  <c r="AP87" i="5"/>
  <c r="AQ87" i="5"/>
  <c r="AR87" i="5"/>
  <c r="AS87" i="5"/>
  <c r="AT87" i="5"/>
  <c r="AU87" i="5"/>
  <c r="AV87" i="5"/>
  <c r="AW87" i="5"/>
  <c r="AX87" i="5"/>
  <c r="B88" i="5"/>
  <c r="C88" i="5"/>
  <c r="D88" i="5"/>
  <c r="E88" i="5"/>
  <c r="F88" i="5"/>
  <c r="G88" i="5"/>
  <c r="H88" i="5"/>
  <c r="I88" i="5"/>
  <c r="J88" i="5"/>
  <c r="K88" i="5"/>
  <c r="L88" i="5"/>
  <c r="M88" i="5"/>
  <c r="N88" i="5"/>
  <c r="O88" i="5"/>
  <c r="P88" i="5"/>
  <c r="Q88" i="5"/>
  <c r="R88" i="5"/>
  <c r="S88" i="5"/>
  <c r="T88" i="5"/>
  <c r="U88" i="5"/>
  <c r="V88" i="5"/>
  <c r="W88" i="5"/>
  <c r="X88" i="5"/>
  <c r="Y88" i="5"/>
  <c r="Z88" i="5"/>
  <c r="AA88" i="5"/>
  <c r="AB88" i="5"/>
  <c r="AC88" i="5"/>
  <c r="AD88" i="5"/>
  <c r="AE88" i="5"/>
  <c r="AF88" i="5"/>
  <c r="AG88" i="5"/>
  <c r="AH88" i="5"/>
  <c r="AI88" i="5"/>
  <c r="AJ88" i="5"/>
  <c r="AK88" i="5"/>
  <c r="AL88" i="5"/>
  <c r="AM88" i="5"/>
  <c r="AN88" i="5"/>
  <c r="AO88" i="5"/>
  <c r="AP88" i="5"/>
  <c r="AQ88" i="5"/>
  <c r="AR88" i="5"/>
  <c r="AS88" i="5"/>
  <c r="AT88" i="5"/>
  <c r="AU88" i="5"/>
  <c r="AV88" i="5"/>
  <c r="AW88" i="5"/>
  <c r="AX88" i="5"/>
  <c r="B89" i="5"/>
  <c r="C89" i="5"/>
  <c r="D89" i="5"/>
  <c r="E89" i="5"/>
  <c r="F89" i="5"/>
  <c r="G89" i="5"/>
  <c r="H89" i="5"/>
  <c r="I89" i="5"/>
  <c r="J89" i="5"/>
  <c r="K89" i="5"/>
  <c r="L89" i="5"/>
  <c r="M89" i="5"/>
  <c r="N89" i="5"/>
  <c r="O89" i="5"/>
  <c r="P89" i="5"/>
  <c r="Q89" i="5"/>
  <c r="R89" i="5"/>
  <c r="S89" i="5"/>
  <c r="T89" i="5"/>
  <c r="U89" i="5"/>
  <c r="V89" i="5"/>
  <c r="W89" i="5"/>
  <c r="X89" i="5"/>
  <c r="Y89" i="5"/>
  <c r="Z89" i="5"/>
  <c r="AA89" i="5"/>
  <c r="AB89" i="5"/>
  <c r="AC89" i="5"/>
  <c r="AD89" i="5"/>
  <c r="AE89" i="5"/>
  <c r="AF89" i="5"/>
  <c r="AG89" i="5"/>
  <c r="AH89" i="5"/>
  <c r="AI89" i="5"/>
  <c r="AJ89" i="5"/>
  <c r="AK89" i="5"/>
  <c r="AL89" i="5"/>
  <c r="AM89" i="5"/>
  <c r="AN89" i="5"/>
  <c r="AO89" i="5"/>
  <c r="AP89" i="5"/>
  <c r="AQ89" i="5"/>
  <c r="AR89" i="5"/>
  <c r="AS89" i="5"/>
  <c r="AT89" i="5"/>
  <c r="AU89" i="5"/>
  <c r="AV89" i="5"/>
  <c r="AW89" i="5"/>
  <c r="AX89" i="5"/>
  <c r="B90" i="5"/>
  <c r="C90" i="5"/>
  <c r="D90" i="5"/>
  <c r="E90" i="5"/>
  <c r="F90" i="5"/>
  <c r="G90" i="5"/>
  <c r="H90" i="5"/>
  <c r="I90" i="5"/>
  <c r="J90" i="5"/>
  <c r="K90" i="5"/>
  <c r="L90" i="5"/>
  <c r="M90" i="5"/>
  <c r="N90" i="5"/>
  <c r="O90" i="5"/>
  <c r="P90" i="5"/>
  <c r="Q90" i="5"/>
  <c r="R90" i="5"/>
  <c r="S90" i="5"/>
  <c r="T90" i="5"/>
  <c r="U90" i="5"/>
  <c r="V90" i="5"/>
  <c r="W90" i="5"/>
  <c r="X90" i="5"/>
  <c r="Y90" i="5"/>
  <c r="Z90" i="5"/>
  <c r="AA90" i="5"/>
  <c r="AB90" i="5"/>
  <c r="AC90" i="5"/>
  <c r="AD90" i="5"/>
  <c r="AE90" i="5"/>
  <c r="AF90" i="5"/>
  <c r="AG90" i="5"/>
  <c r="AH90" i="5"/>
  <c r="AI90" i="5"/>
  <c r="AJ90" i="5"/>
  <c r="AK90" i="5"/>
  <c r="AL90" i="5"/>
  <c r="AM90" i="5"/>
  <c r="AN90" i="5"/>
  <c r="AO90" i="5"/>
  <c r="AP90" i="5"/>
  <c r="AQ90" i="5"/>
  <c r="AR90" i="5"/>
  <c r="AS90" i="5"/>
  <c r="AT90" i="5"/>
  <c r="AU90" i="5"/>
  <c r="AV90" i="5"/>
  <c r="AW90" i="5"/>
  <c r="AX90" i="5"/>
  <c r="B91" i="5"/>
  <c r="C91" i="5"/>
  <c r="D91" i="5"/>
  <c r="E91" i="5"/>
  <c r="F91" i="5"/>
  <c r="G91" i="5"/>
  <c r="H91" i="5"/>
  <c r="I91" i="5"/>
  <c r="J91" i="5"/>
  <c r="K91" i="5"/>
  <c r="L91" i="5"/>
  <c r="M91" i="5"/>
  <c r="N91" i="5"/>
  <c r="O91" i="5"/>
  <c r="P91" i="5"/>
  <c r="Q91" i="5"/>
  <c r="R91" i="5"/>
  <c r="S91" i="5"/>
  <c r="T91" i="5"/>
  <c r="U91" i="5"/>
  <c r="V91" i="5"/>
  <c r="W91" i="5"/>
  <c r="X91" i="5"/>
  <c r="Y91" i="5"/>
  <c r="Z91" i="5"/>
  <c r="AA91" i="5"/>
  <c r="AB91" i="5"/>
  <c r="AC91" i="5"/>
  <c r="AD91" i="5"/>
  <c r="AE91" i="5"/>
  <c r="AF91" i="5"/>
  <c r="AG91" i="5"/>
  <c r="AH91" i="5"/>
  <c r="AI91" i="5"/>
  <c r="AJ91" i="5"/>
  <c r="AK91" i="5"/>
  <c r="AL91" i="5"/>
  <c r="AM91" i="5"/>
  <c r="AN91" i="5"/>
  <c r="AO91" i="5"/>
  <c r="AP91" i="5"/>
  <c r="AQ91" i="5"/>
  <c r="AR91" i="5"/>
  <c r="AS91" i="5"/>
  <c r="AT91" i="5"/>
  <c r="AU91" i="5"/>
  <c r="AV91" i="5"/>
  <c r="AW91" i="5"/>
  <c r="AX91" i="5"/>
  <c r="B92" i="5"/>
  <c r="C92" i="5"/>
  <c r="D92" i="5"/>
  <c r="E92" i="5"/>
  <c r="F92" i="5"/>
  <c r="G92" i="5"/>
  <c r="H92" i="5"/>
  <c r="I92" i="5"/>
  <c r="J92" i="5"/>
  <c r="K92" i="5"/>
  <c r="L92" i="5"/>
  <c r="M92" i="5"/>
  <c r="N92" i="5"/>
  <c r="O92" i="5"/>
  <c r="P92" i="5"/>
  <c r="Q92" i="5"/>
  <c r="R92" i="5"/>
  <c r="S92" i="5"/>
  <c r="T92" i="5"/>
  <c r="U92" i="5"/>
  <c r="V92" i="5"/>
  <c r="W92" i="5"/>
  <c r="X92" i="5"/>
  <c r="Y92" i="5"/>
  <c r="Z92" i="5"/>
  <c r="AA92" i="5"/>
  <c r="AB92" i="5"/>
  <c r="AC92" i="5"/>
  <c r="AD92" i="5"/>
  <c r="AE92" i="5"/>
  <c r="AF92" i="5"/>
  <c r="AG92" i="5"/>
  <c r="AH92" i="5"/>
  <c r="AI92" i="5"/>
  <c r="AJ92" i="5"/>
  <c r="AK92" i="5"/>
  <c r="AL92" i="5"/>
  <c r="AM92" i="5"/>
  <c r="AN92" i="5"/>
  <c r="AO92" i="5"/>
  <c r="AP92" i="5"/>
  <c r="AQ92" i="5"/>
  <c r="AR92" i="5"/>
  <c r="AS92" i="5"/>
  <c r="AT92" i="5"/>
  <c r="AU92" i="5"/>
  <c r="AV92" i="5"/>
  <c r="AW92" i="5"/>
  <c r="AX92" i="5"/>
  <c r="B93" i="5"/>
  <c r="C93" i="5"/>
  <c r="D93" i="5"/>
  <c r="E93" i="5"/>
  <c r="F93" i="5"/>
  <c r="G93" i="5"/>
  <c r="H93" i="5"/>
  <c r="I93" i="5"/>
  <c r="J93" i="5"/>
  <c r="K93" i="5"/>
  <c r="L93" i="5"/>
  <c r="M93" i="5"/>
  <c r="N93" i="5"/>
  <c r="O93" i="5"/>
  <c r="P93" i="5"/>
  <c r="Q93" i="5"/>
  <c r="R93" i="5"/>
  <c r="S93" i="5"/>
  <c r="T93" i="5"/>
  <c r="U93" i="5"/>
  <c r="V93" i="5"/>
  <c r="W93" i="5"/>
  <c r="X93" i="5"/>
  <c r="Y93" i="5"/>
  <c r="Z93" i="5"/>
  <c r="AA93" i="5"/>
  <c r="AB93" i="5"/>
  <c r="AC93" i="5"/>
  <c r="AD93" i="5"/>
  <c r="AE93" i="5"/>
  <c r="AF93" i="5"/>
  <c r="AG93" i="5"/>
  <c r="AH93" i="5"/>
  <c r="AI93" i="5"/>
  <c r="AJ93" i="5"/>
  <c r="AK93" i="5"/>
  <c r="AL93" i="5"/>
  <c r="AM93" i="5"/>
  <c r="AN93" i="5"/>
  <c r="AO93" i="5"/>
  <c r="AP93" i="5"/>
  <c r="AQ93" i="5"/>
  <c r="AR93" i="5"/>
  <c r="AS93" i="5"/>
  <c r="AT93" i="5"/>
  <c r="AU93" i="5"/>
  <c r="AV93" i="5"/>
  <c r="AW93" i="5"/>
  <c r="AX93" i="5"/>
  <c r="B94" i="5"/>
  <c r="C94" i="5"/>
  <c r="D94" i="5"/>
  <c r="E94" i="5"/>
  <c r="F94" i="5"/>
  <c r="G94" i="5"/>
  <c r="H94" i="5"/>
  <c r="I94" i="5"/>
  <c r="J94" i="5"/>
  <c r="K94" i="5"/>
  <c r="L94" i="5"/>
  <c r="M94" i="5"/>
  <c r="N94" i="5"/>
  <c r="O94" i="5"/>
  <c r="P94" i="5"/>
  <c r="Q94" i="5"/>
  <c r="R94" i="5"/>
  <c r="S94" i="5"/>
  <c r="T94" i="5"/>
  <c r="U94" i="5"/>
  <c r="V94" i="5"/>
  <c r="W94" i="5"/>
  <c r="X94" i="5"/>
  <c r="Y94" i="5"/>
  <c r="Z94" i="5"/>
  <c r="AA94" i="5"/>
  <c r="AB94" i="5"/>
  <c r="AC94" i="5"/>
  <c r="AD94" i="5"/>
  <c r="AE94" i="5"/>
  <c r="AF94" i="5"/>
  <c r="AG94" i="5"/>
  <c r="AH94" i="5"/>
  <c r="AI94" i="5"/>
  <c r="AJ94" i="5"/>
  <c r="AK94" i="5"/>
  <c r="AL94" i="5"/>
  <c r="AM94" i="5"/>
  <c r="AN94" i="5"/>
  <c r="AO94" i="5"/>
  <c r="AP94" i="5"/>
  <c r="AQ94" i="5"/>
  <c r="AR94" i="5"/>
  <c r="AS94" i="5"/>
  <c r="AT94" i="5"/>
  <c r="AU94" i="5"/>
  <c r="AV94" i="5"/>
  <c r="AW94" i="5"/>
  <c r="AX94" i="5"/>
  <c r="B95" i="5"/>
  <c r="C95" i="5"/>
  <c r="D95" i="5"/>
  <c r="E95" i="5"/>
  <c r="F95" i="5"/>
  <c r="G95" i="5"/>
  <c r="H95" i="5"/>
  <c r="I95" i="5"/>
  <c r="J95" i="5"/>
  <c r="K95" i="5"/>
  <c r="L95" i="5"/>
  <c r="M95" i="5"/>
  <c r="N95" i="5"/>
  <c r="O95" i="5"/>
  <c r="P95" i="5"/>
  <c r="Q95" i="5"/>
  <c r="R95" i="5"/>
  <c r="S95" i="5"/>
  <c r="T95" i="5"/>
  <c r="U95" i="5"/>
  <c r="V95" i="5"/>
  <c r="W95" i="5"/>
  <c r="X95" i="5"/>
  <c r="Y95" i="5"/>
  <c r="Z95" i="5"/>
  <c r="AA95" i="5"/>
  <c r="AB95" i="5"/>
  <c r="AC95" i="5"/>
  <c r="AD95" i="5"/>
  <c r="AE95" i="5"/>
  <c r="AF95" i="5"/>
  <c r="AG95" i="5"/>
  <c r="AH95" i="5"/>
  <c r="AI95" i="5"/>
  <c r="AJ95" i="5"/>
  <c r="AK95" i="5"/>
  <c r="AL95" i="5"/>
  <c r="AM95" i="5"/>
  <c r="AN95" i="5"/>
  <c r="AO95" i="5"/>
  <c r="AP95" i="5"/>
  <c r="AQ95" i="5"/>
  <c r="AR95" i="5"/>
  <c r="AS95" i="5"/>
  <c r="AT95" i="5"/>
  <c r="AU95" i="5"/>
  <c r="AV95" i="5"/>
  <c r="AW95" i="5"/>
  <c r="AX95" i="5"/>
  <c r="B96" i="5"/>
  <c r="C96" i="5"/>
  <c r="D96" i="5"/>
  <c r="E96" i="5"/>
  <c r="F96" i="5"/>
  <c r="G96" i="5"/>
  <c r="H96" i="5"/>
  <c r="I96" i="5"/>
  <c r="J96" i="5"/>
  <c r="K96" i="5"/>
  <c r="L96" i="5"/>
  <c r="M96" i="5"/>
  <c r="N96" i="5"/>
  <c r="O96" i="5"/>
  <c r="P96" i="5"/>
  <c r="Q96" i="5"/>
  <c r="R96" i="5"/>
  <c r="S96" i="5"/>
  <c r="T96" i="5"/>
  <c r="U96" i="5"/>
  <c r="V96" i="5"/>
  <c r="W96" i="5"/>
  <c r="X96" i="5"/>
  <c r="Y96" i="5"/>
  <c r="Z96" i="5"/>
  <c r="AA96" i="5"/>
  <c r="AB96" i="5"/>
  <c r="AC96" i="5"/>
  <c r="AD96" i="5"/>
  <c r="AE96" i="5"/>
  <c r="AF96" i="5"/>
  <c r="AG96" i="5"/>
  <c r="AH96" i="5"/>
  <c r="AI96" i="5"/>
  <c r="AJ96" i="5"/>
  <c r="AK96" i="5"/>
  <c r="AL96" i="5"/>
  <c r="AM96" i="5"/>
  <c r="AN96" i="5"/>
  <c r="AO96" i="5"/>
  <c r="AP96" i="5"/>
  <c r="AQ96" i="5"/>
  <c r="AR96" i="5"/>
  <c r="AS96" i="5"/>
  <c r="AT96" i="5"/>
  <c r="AU96" i="5"/>
  <c r="AV96" i="5"/>
  <c r="AW96" i="5"/>
  <c r="AX96" i="5"/>
  <c r="B97" i="5"/>
  <c r="C97" i="5"/>
  <c r="D97" i="5"/>
  <c r="E97" i="5"/>
  <c r="F97" i="5"/>
  <c r="G97" i="5"/>
  <c r="H97" i="5"/>
  <c r="I97" i="5"/>
  <c r="J97" i="5"/>
  <c r="K97" i="5"/>
  <c r="L97" i="5"/>
  <c r="M97" i="5"/>
  <c r="N97" i="5"/>
  <c r="O97" i="5"/>
  <c r="P97" i="5"/>
  <c r="Q97" i="5"/>
  <c r="R97" i="5"/>
  <c r="S97" i="5"/>
  <c r="T97" i="5"/>
  <c r="U97" i="5"/>
  <c r="V97" i="5"/>
  <c r="W97" i="5"/>
  <c r="X97" i="5"/>
  <c r="Y97" i="5"/>
  <c r="Z97" i="5"/>
  <c r="AA97" i="5"/>
  <c r="AB97" i="5"/>
  <c r="AC97" i="5"/>
  <c r="AD97" i="5"/>
  <c r="AE97" i="5"/>
  <c r="AF97" i="5"/>
  <c r="AG97" i="5"/>
  <c r="AH97" i="5"/>
  <c r="AI97" i="5"/>
  <c r="AJ97" i="5"/>
  <c r="AK97" i="5"/>
  <c r="AL97" i="5"/>
  <c r="AM97" i="5"/>
  <c r="AN97" i="5"/>
  <c r="AO97" i="5"/>
  <c r="AP97" i="5"/>
  <c r="AQ97" i="5"/>
  <c r="AR97" i="5"/>
  <c r="AS97" i="5"/>
  <c r="AT97" i="5"/>
  <c r="AU97" i="5"/>
  <c r="AV97" i="5"/>
  <c r="AW97" i="5"/>
  <c r="AX97" i="5"/>
  <c r="B98" i="5"/>
  <c r="C98" i="5"/>
  <c r="D98" i="5"/>
  <c r="E98" i="5"/>
  <c r="F98" i="5"/>
  <c r="G98" i="5"/>
  <c r="H98" i="5"/>
  <c r="I98" i="5"/>
  <c r="J98" i="5"/>
  <c r="K98" i="5"/>
  <c r="L98" i="5"/>
  <c r="M98" i="5"/>
  <c r="N98" i="5"/>
  <c r="O98" i="5"/>
  <c r="P98" i="5"/>
  <c r="Q98" i="5"/>
  <c r="R98" i="5"/>
  <c r="S98" i="5"/>
  <c r="T98" i="5"/>
  <c r="U98" i="5"/>
  <c r="V98" i="5"/>
  <c r="W98" i="5"/>
  <c r="X98" i="5"/>
  <c r="Y98" i="5"/>
  <c r="Z98" i="5"/>
  <c r="AA98" i="5"/>
  <c r="AB98" i="5"/>
  <c r="AC98" i="5"/>
  <c r="AD98" i="5"/>
  <c r="AE98" i="5"/>
  <c r="AF98" i="5"/>
  <c r="AG98" i="5"/>
  <c r="AH98" i="5"/>
  <c r="AI98" i="5"/>
  <c r="AJ98" i="5"/>
  <c r="AK98" i="5"/>
  <c r="AL98" i="5"/>
  <c r="AM98" i="5"/>
  <c r="AN98" i="5"/>
  <c r="AO98" i="5"/>
  <c r="AP98" i="5"/>
  <c r="AQ98" i="5"/>
  <c r="AR98" i="5"/>
  <c r="AS98" i="5"/>
  <c r="AT98" i="5"/>
  <c r="AU98" i="5"/>
  <c r="AV98" i="5"/>
  <c r="AW98" i="5"/>
  <c r="AX98" i="5"/>
  <c r="B99" i="5"/>
  <c r="C99" i="5"/>
  <c r="D99" i="5"/>
  <c r="E99" i="5"/>
  <c r="F99" i="5"/>
  <c r="G99" i="5"/>
  <c r="H99" i="5"/>
  <c r="I99" i="5"/>
  <c r="J99" i="5"/>
  <c r="K99" i="5"/>
  <c r="L99" i="5"/>
  <c r="M99" i="5"/>
  <c r="N99" i="5"/>
  <c r="O99" i="5"/>
  <c r="P99" i="5"/>
  <c r="Q99" i="5"/>
  <c r="R99" i="5"/>
  <c r="S99" i="5"/>
  <c r="T99" i="5"/>
  <c r="U99" i="5"/>
  <c r="V99" i="5"/>
  <c r="W99" i="5"/>
  <c r="X99" i="5"/>
  <c r="Y99" i="5"/>
  <c r="Z99" i="5"/>
  <c r="AA99" i="5"/>
  <c r="AB99" i="5"/>
  <c r="AC99" i="5"/>
  <c r="AD99" i="5"/>
  <c r="AE99" i="5"/>
  <c r="AF99" i="5"/>
  <c r="AG99" i="5"/>
  <c r="AH99" i="5"/>
  <c r="AI99" i="5"/>
  <c r="AJ99" i="5"/>
  <c r="AK99" i="5"/>
  <c r="AL99" i="5"/>
  <c r="AM99" i="5"/>
  <c r="AN99" i="5"/>
  <c r="AO99" i="5"/>
  <c r="AP99" i="5"/>
  <c r="AQ99" i="5"/>
  <c r="AR99" i="5"/>
  <c r="AS99" i="5"/>
  <c r="AT99" i="5"/>
  <c r="AU99" i="5"/>
  <c r="AV99" i="5"/>
  <c r="AW99" i="5"/>
  <c r="AX99" i="5"/>
  <c r="B100" i="5"/>
  <c r="C100" i="5"/>
  <c r="D100" i="5"/>
  <c r="E100" i="5"/>
  <c r="F100" i="5"/>
  <c r="G100" i="5"/>
  <c r="H100" i="5"/>
  <c r="I100" i="5"/>
  <c r="J100" i="5"/>
  <c r="K100" i="5"/>
  <c r="L100" i="5"/>
  <c r="M100" i="5"/>
  <c r="N100" i="5"/>
  <c r="O100" i="5"/>
  <c r="P100" i="5"/>
  <c r="Q100" i="5"/>
  <c r="R100" i="5"/>
  <c r="S100" i="5"/>
  <c r="T100" i="5"/>
  <c r="U100" i="5"/>
  <c r="V100" i="5"/>
  <c r="W100" i="5"/>
  <c r="X100" i="5"/>
  <c r="Y100" i="5"/>
  <c r="Z100" i="5"/>
  <c r="AA100" i="5"/>
  <c r="AB100" i="5"/>
  <c r="AC100" i="5"/>
  <c r="AD100" i="5"/>
  <c r="AE100" i="5"/>
  <c r="AF100" i="5"/>
  <c r="AG100" i="5"/>
  <c r="AH100" i="5"/>
  <c r="AI100" i="5"/>
  <c r="AJ100" i="5"/>
  <c r="AK100" i="5"/>
  <c r="AL100" i="5"/>
  <c r="AM100" i="5"/>
  <c r="AN100" i="5"/>
  <c r="AO100" i="5"/>
  <c r="AP100" i="5"/>
  <c r="AQ100" i="5"/>
  <c r="AR100" i="5"/>
  <c r="AS100" i="5"/>
  <c r="AT100" i="5"/>
  <c r="AU100" i="5"/>
  <c r="AV100" i="5"/>
  <c r="AW100" i="5"/>
  <c r="AX100" i="5"/>
  <c r="B101" i="5"/>
  <c r="C101" i="5"/>
  <c r="D101" i="5"/>
  <c r="E101" i="5"/>
  <c r="F101" i="5"/>
  <c r="G101" i="5"/>
  <c r="H101" i="5"/>
  <c r="I101" i="5"/>
  <c r="J101" i="5"/>
  <c r="K101" i="5"/>
  <c r="L101" i="5"/>
  <c r="M101" i="5"/>
  <c r="N101" i="5"/>
  <c r="O101" i="5"/>
  <c r="P101" i="5"/>
  <c r="Q101" i="5"/>
  <c r="R101" i="5"/>
  <c r="S101" i="5"/>
  <c r="T101" i="5"/>
  <c r="U101" i="5"/>
  <c r="V101" i="5"/>
  <c r="W101" i="5"/>
  <c r="X101" i="5"/>
  <c r="Y101" i="5"/>
  <c r="Z101" i="5"/>
  <c r="AA101" i="5"/>
  <c r="AB101" i="5"/>
  <c r="AC101" i="5"/>
  <c r="AD101" i="5"/>
  <c r="AE101" i="5"/>
  <c r="AF101" i="5"/>
  <c r="AG101" i="5"/>
  <c r="AH101" i="5"/>
  <c r="AI101" i="5"/>
  <c r="AJ101" i="5"/>
  <c r="AK101" i="5"/>
  <c r="AL101" i="5"/>
  <c r="AM101" i="5"/>
  <c r="AN101" i="5"/>
  <c r="AO101" i="5"/>
  <c r="AP101" i="5"/>
  <c r="AQ101" i="5"/>
  <c r="AR101" i="5"/>
  <c r="AS101" i="5"/>
  <c r="AT101" i="5"/>
  <c r="AU101" i="5"/>
  <c r="AV101" i="5"/>
  <c r="AW101" i="5"/>
  <c r="AX101" i="5"/>
  <c r="B102" i="5"/>
  <c r="C102" i="5"/>
  <c r="D102" i="5"/>
  <c r="E102" i="5"/>
  <c r="F102" i="5"/>
  <c r="G102" i="5"/>
  <c r="H102" i="5"/>
  <c r="I102" i="5"/>
  <c r="J102" i="5"/>
  <c r="K102" i="5"/>
  <c r="L102" i="5"/>
  <c r="M102" i="5"/>
  <c r="N102" i="5"/>
  <c r="O102" i="5"/>
  <c r="P102" i="5"/>
  <c r="Q102" i="5"/>
  <c r="R102" i="5"/>
  <c r="S102" i="5"/>
  <c r="T102" i="5"/>
  <c r="U102" i="5"/>
  <c r="V102" i="5"/>
  <c r="W102" i="5"/>
  <c r="X102" i="5"/>
  <c r="Y102" i="5"/>
  <c r="Z102" i="5"/>
  <c r="AA102" i="5"/>
  <c r="AB102" i="5"/>
  <c r="AC102" i="5"/>
  <c r="AD102" i="5"/>
  <c r="AE102" i="5"/>
  <c r="AF102" i="5"/>
  <c r="AG102" i="5"/>
  <c r="AH102" i="5"/>
  <c r="AI102" i="5"/>
  <c r="AJ102" i="5"/>
  <c r="AK102" i="5"/>
  <c r="AL102" i="5"/>
  <c r="AM102" i="5"/>
  <c r="AN102" i="5"/>
  <c r="AO102" i="5"/>
  <c r="AP102" i="5"/>
  <c r="AQ102" i="5"/>
  <c r="AR102" i="5"/>
  <c r="AS102" i="5"/>
  <c r="AT102" i="5"/>
  <c r="AU102" i="5"/>
  <c r="AV102" i="5"/>
  <c r="AW102" i="5"/>
  <c r="AX102" i="5"/>
  <c r="B103" i="5"/>
  <c r="C103" i="5"/>
  <c r="D103" i="5"/>
  <c r="E103" i="5"/>
  <c r="F103" i="5"/>
  <c r="G103" i="5"/>
  <c r="H103" i="5"/>
  <c r="I103" i="5"/>
  <c r="J103" i="5"/>
  <c r="K103" i="5"/>
  <c r="L103" i="5"/>
  <c r="M103" i="5"/>
  <c r="N103" i="5"/>
  <c r="O103" i="5"/>
  <c r="P103" i="5"/>
  <c r="Q103" i="5"/>
  <c r="R103" i="5"/>
  <c r="S103" i="5"/>
  <c r="T103" i="5"/>
  <c r="U103" i="5"/>
  <c r="V103" i="5"/>
  <c r="W103" i="5"/>
  <c r="X103" i="5"/>
  <c r="Y103" i="5"/>
  <c r="Z103" i="5"/>
  <c r="AA103" i="5"/>
  <c r="AB103" i="5"/>
  <c r="AC103" i="5"/>
  <c r="AD103" i="5"/>
  <c r="AE103" i="5"/>
  <c r="AF103" i="5"/>
  <c r="AG103" i="5"/>
  <c r="AH103" i="5"/>
  <c r="AI103" i="5"/>
  <c r="AJ103" i="5"/>
  <c r="AK103" i="5"/>
  <c r="AL103" i="5"/>
  <c r="AM103" i="5"/>
  <c r="AN103" i="5"/>
  <c r="AO103" i="5"/>
  <c r="AP103" i="5"/>
  <c r="AQ103" i="5"/>
  <c r="AR103" i="5"/>
  <c r="AS103" i="5"/>
  <c r="AT103" i="5"/>
  <c r="AU103" i="5"/>
  <c r="AV103" i="5"/>
  <c r="AW103" i="5"/>
  <c r="AX103" i="5"/>
  <c r="B104" i="5"/>
  <c r="C104" i="5"/>
  <c r="D104" i="5"/>
  <c r="E104" i="5"/>
  <c r="F104" i="5"/>
  <c r="G104" i="5"/>
  <c r="H104" i="5"/>
  <c r="I104" i="5"/>
  <c r="J104" i="5"/>
  <c r="K104" i="5"/>
  <c r="L104" i="5"/>
  <c r="M104" i="5"/>
  <c r="N104" i="5"/>
  <c r="O104" i="5"/>
  <c r="P104" i="5"/>
  <c r="Q104" i="5"/>
  <c r="R104" i="5"/>
  <c r="S104" i="5"/>
  <c r="T104" i="5"/>
  <c r="U104" i="5"/>
  <c r="V104" i="5"/>
  <c r="W104" i="5"/>
  <c r="X104" i="5"/>
  <c r="Y104" i="5"/>
  <c r="Z104" i="5"/>
  <c r="AA104" i="5"/>
  <c r="AB104" i="5"/>
  <c r="AC104" i="5"/>
  <c r="AD104" i="5"/>
  <c r="AE104" i="5"/>
  <c r="AF104" i="5"/>
  <c r="AG104" i="5"/>
  <c r="AH104" i="5"/>
  <c r="AI104" i="5"/>
  <c r="AJ104" i="5"/>
  <c r="AK104" i="5"/>
  <c r="AL104" i="5"/>
  <c r="AM104" i="5"/>
  <c r="AN104" i="5"/>
  <c r="AO104" i="5"/>
  <c r="AP104" i="5"/>
  <c r="AQ104" i="5"/>
  <c r="AR104" i="5"/>
  <c r="AS104" i="5"/>
  <c r="AT104" i="5"/>
  <c r="AU104" i="5"/>
  <c r="AV104" i="5"/>
  <c r="AW104" i="5"/>
  <c r="AX104" i="5"/>
  <c r="B105" i="5"/>
  <c r="C105" i="5"/>
  <c r="D105" i="5"/>
  <c r="E105" i="5"/>
  <c r="F105" i="5"/>
  <c r="G105" i="5"/>
  <c r="H105" i="5"/>
  <c r="I105" i="5"/>
  <c r="J105" i="5"/>
  <c r="K105" i="5"/>
  <c r="L105" i="5"/>
  <c r="M105" i="5"/>
  <c r="N105" i="5"/>
  <c r="O105" i="5"/>
  <c r="P105" i="5"/>
  <c r="Q105" i="5"/>
  <c r="R105" i="5"/>
  <c r="S105" i="5"/>
  <c r="T105" i="5"/>
  <c r="U105" i="5"/>
  <c r="V105" i="5"/>
  <c r="W105" i="5"/>
  <c r="X105" i="5"/>
  <c r="Y105" i="5"/>
  <c r="Z105" i="5"/>
  <c r="AA105" i="5"/>
  <c r="AB105" i="5"/>
  <c r="AC105" i="5"/>
  <c r="AD105" i="5"/>
  <c r="AE105" i="5"/>
  <c r="AF105" i="5"/>
  <c r="AG105" i="5"/>
  <c r="AH105" i="5"/>
  <c r="AI105" i="5"/>
  <c r="AJ105" i="5"/>
  <c r="AK105" i="5"/>
  <c r="AL105" i="5"/>
  <c r="AM105" i="5"/>
  <c r="AN105" i="5"/>
  <c r="AO105" i="5"/>
  <c r="AP105" i="5"/>
  <c r="AQ105" i="5"/>
  <c r="AR105" i="5"/>
  <c r="AS105" i="5"/>
  <c r="AT105" i="5"/>
  <c r="AU105" i="5"/>
  <c r="AV105" i="5"/>
  <c r="AW105" i="5"/>
  <c r="AX105" i="5"/>
  <c r="B106" i="5"/>
  <c r="C106" i="5"/>
  <c r="D106" i="5"/>
  <c r="E106" i="5"/>
  <c r="F106" i="5"/>
  <c r="G106" i="5"/>
  <c r="H106" i="5"/>
  <c r="I106" i="5"/>
  <c r="J106" i="5"/>
  <c r="K106" i="5"/>
  <c r="L106" i="5"/>
  <c r="M106" i="5"/>
  <c r="N106" i="5"/>
  <c r="O106" i="5"/>
  <c r="P106" i="5"/>
  <c r="Q106" i="5"/>
  <c r="R106" i="5"/>
  <c r="S106" i="5"/>
  <c r="T106" i="5"/>
  <c r="U106" i="5"/>
  <c r="V106" i="5"/>
  <c r="W106" i="5"/>
  <c r="X106" i="5"/>
  <c r="Y106" i="5"/>
  <c r="Z106" i="5"/>
  <c r="AA106" i="5"/>
  <c r="AB106" i="5"/>
  <c r="AC106" i="5"/>
  <c r="AD106" i="5"/>
  <c r="AE106" i="5"/>
  <c r="AF106" i="5"/>
  <c r="AG106" i="5"/>
  <c r="AH106" i="5"/>
  <c r="AI106" i="5"/>
  <c r="AJ106" i="5"/>
  <c r="AK106" i="5"/>
  <c r="AL106" i="5"/>
  <c r="AM106" i="5"/>
  <c r="AN106" i="5"/>
  <c r="AO106" i="5"/>
  <c r="AP106" i="5"/>
  <c r="AQ106" i="5"/>
  <c r="AR106" i="5"/>
  <c r="AS106" i="5"/>
  <c r="AT106" i="5"/>
  <c r="AU106" i="5"/>
  <c r="AV106" i="5"/>
  <c r="AW106" i="5"/>
  <c r="AX106" i="5"/>
  <c r="B107" i="5"/>
  <c r="C107" i="5"/>
  <c r="D107" i="5"/>
  <c r="E107" i="5"/>
  <c r="F107" i="5"/>
  <c r="G107" i="5"/>
  <c r="H107" i="5"/>
  <c r="I107" i="5"/>
  <c r="J107" i="5"/>
  <c r="K107" i="5"/>
  <c r="L107" i="5"/>
  <c r="M107" i="5"/>
  <c r="N107" i="5"/>
  <c r="O107" i="5"/>
  <c r="P107" i="5"/>
  <c r="Q107" i="5"/>
  <c r="R107" i="5"/>
  <c r="S107" i="5"/>
  <c r="T107" i="5"/>
  <c r="U107" i="5"/>
  <c r="V107" i="5"/>
  <c r="W107" i="5"/>
  <c r="X107" i="5"/>
  <c r="Y107" i="5"/>
  <c r="Z107" i="5"/>
  <c r="AA107" i="5"/>
  <c r="AB107" i="5"/>
  <c r="AC107" i="5"/>
  <c r="AD107" i="5"/>
  <c r="AE107" i="5"/>
  <c r="AF107" i="5"/>
  <c r="AG107" i="5"/>
  <c r="AH107" i="5"/>
  <c r="AI107" i="5"/>
  <c r="AJ107" i="5"/>
  <c r="AK107" i="5"/>
  <c r="AL107" i="5"/>
  <c r="AM107" i="5"/>
  <c r="AN107" i="5"/>
  <c r="AO107" i="5"/>
  <c r="AP107" i="5"/>
  <c r="AQ107" i="5"/>
  <c r="AR107" i="5"/>
  <c r="AS107" i="5"/>
  <c r="AT107" i="5"/>
  <c r="AU107" i="5"/>
  <c r="AV107" i="5"/>
  <c r="AW107" i="5"/>
  <c r="AX107" i="5"/>
  <c r="A77" i="5"/>
  <c r="A78" i="5"/>
  <c r="A79" i="5"/>
  <c r="A80" i="5"/>
  <c r="A81" i="5"/>
  <c r="A82" i="5"/>
  <c r="A83" i="5"/>
  <c r="A84" i="5"/>
  <c r="A85" i="5"/>
  <c r="A86" i="5"/>
  <c r="A87" i="5"/>
  <c r="A88" i="5"/>
  <c r="A89" i="5"/>
  <c r="A90" i="5"/>
  <c r="A91" i="5"/>
  <c r="A92" i="5"/>
  <c r="A93" i="5"/>
  <c r="A94" i="5"/>
  <c r="A95" i="5"/>
  <c r="A96" i="5"/>
  <c r="A97" i="5"/>
  <c r="A98" i="5"/>
  <c r="A99" i="5"/>
  <c r="A100" i="5"/>
  <c r="A101" i="5"/>
  <c r="A102" i="5"/>
  <c r="A103" i="5"/>
  <c r="A104" i="5"/>
  <c r="A105" i="5"/>
  <c r="A106" i="5"/>
  <c r="A107" i="5"/>
  <c r="B76" i="5"/>
  <c r="C76" i="5"/>
  <c r="D76" i="5"/>
  <c r="E76" i="5"/>
  <c r="F76" i="5"/>
  <c r="G76" i="5"/>
  <c r="H76" i="5"/>
  <c r="I76" i="5"/>
  <c r="J76" i="5"/>
  <c r="K76" i="5"/>
  <c r="L76" i="5"/>
  <c r="M76" i="5"/>
  <c r="N76" i="5"/>
  <c r="O76" i="5"/>
  <c r="P76" i="5"/>
  <c r="Q76" i="5"/>
  <c r="R76" i="5"/>
  <c r="S76" i="5"/>
  <c r="T76" i="5"/>
  <c r="U76" i="5"/>
  <c r="V76" i="5"/>
  <c r="W76" i="5"/>
  <c r="X76" i="5"/>
  <c r="Y76" i="5"/>
  <c r="Z76" i="5"/>
  <c r="AA76" i="5"/>
  <c r="AB76" i="5"/>
  <c r="AC76" i="5"/>
  <c r="AD76" i="5"/>
  <c r="AE76" i="5"/>
  <c r="AF76" i="5"/>
  <c r="AG76" i="5"/>
  <c r="AH76" i="5"/>
  <c r="AI76" i="5"/>
  <c r="AJ76" i="5"/>
  <c r="AK76" i="5"/>
  <c r="AL76" i="5"/>
  <c r="AM76" i="5"/>
  <c r="AN76" i="5"/>
  <c r="AO76" i="5"/>
  <c r="AP76" i="5"/>
  <c r="AQ76" i="5"/>
  <c r="AR76" i="5"/>
  <c r="AS76" i="5"/>
  <c r="AT76" i="5"/>
  <c r="AU76" i="5"/>
  <c r="AV76" i="5"/>
  <c r="AW76" i="5"/>
  <c r="AX76" i="5"/>
  <c r="A76" i="5"/>
  <c r="AK75" i="5"/>
  <c r="AL75" i="5"/>
  <c r="AM75" i="5"/>
  <c r="AN75" i="5"/>
  <c r="AO75" i="5"/>
  <c r="AP75" i="5"/>
  <c r="AQ75" i="5"/>
  <c r="AR75" i="5"/>
  <c r="AS75" i="5"/>
  <c r="AT75" i="5"/>
  <c r="AU75" i="5"/>
  <c r="AV75" i="5"/>
  <c r="AW75" i="5"/>
  <c r="AX75" i="5"/>
  <c r="B75" i="5"/>
  <c r="C75" i="5"/>
  <c r="D75" i="5"/>
  <c r="E75" i="5"/>
  <c r="F75" i="5"/>
  <c r="G75" i="5"/>
  <c r="H75" i="5"/>
  <c r="I75" i="5"/>
  <c r="J75" i="5"/>
  <c r="K75" i="5"/>
  <c r="L75" i="5"/>
  <c r="M75" i="5"/>
  <c r="N75" i="5"/>
  <c r="O75" i="5"/>
  <c r="P75" i="5"/>
  <c r="Q75" i="5"/>
  <c r="R75" i="5"/>
  <c r="S75" i="5"/>
  <c r="T75" i="5"/>
  <c r="U75" i="5"/>
  <c r="V75" i="5"/>
  <c r="W75" i="5"/>
  <c r="X75" i="5"/>
  <c r="Y75" i="5"/>
  <c r="Z75" i="5"/>
  <c r="AA75" i="5"/>
  <c r="AB75" i="5"/>
  <c r="AC75" i="5"/>
  <c r="AD75" i="5"/>
  <c r="AE75" i="5"/>
  <c r="AF75" i="5"/>
  <c r="AG75" i="5"/>
  <c r="AH75" i="5"/>
  <c r="AI75" i="5"/>
  <c r="AJ75" i="5"/>
  <c r="A75" i="5"/>
  <c r="F91" i="2"/>
  <c r="H46" i="5"/>
  <c r="J46" i="5" s="1"/>
  <c r="H45" i="5"/>
  <c r="J45" i="5" s="1"/>
  <c r="H44" i="5"/>
  <c r="J44" i="5" s="1"/>
  <c r="H43" i="5"/>
  <c r="J43" i="5" s="1"/>
  <c r="H42" i="5"/>
  <c r="J42" i="5" s="1"/>
  <c r="H41" i="5"/>
  <c r="J41" i="5" s="1"/>
  <c r="H40" i="5"/>
  <c r="J40" i="5" s="1"/>
  <c r="H39" i="5"/>
  <c r="J39" i="5" s="1"/>
  <c r="H38" i="5"/>
  <c r="J38" i="5" s="1"/>
  <c r="H37" i="5"/>
  <c r="J37" i="5" s="1"/>
  <c r="G46" i="5"/>
  <c r="G45" i="5"/>
  <c r="G44" i="5"/>
  <c r="G43" i="5"/>
  <c r="G42" i="5"/>
  <c r="G41" i="5"/>
  <c r="G40" i="5"/>
  <c r="G39" i="5"/>
  <c r="G38" i="5"/>
  <c r="G37" i="5"/>
  <c r="F46" i="5"/>
  <c r="F45" i="5"/>
  <c r="F44" i="5"/>
  <c r="F43" i="5"/>
  <c r="F42" i="5"/>
  <c r="F41" i="5"/>
  <c r="F40" i="5"/>
  <c r="F39" i="5"/>
  <c r="F38" i="5"/>
  <c r="F37" i="5"/>
  <c r="E46" i="5"/>
  <c r="E45" i="5"/>
  <c r="E44" i="5"/>
  <c r="E43" i="5"/>
  <c r="E42" i="5"/>
  <c r="E41" i="5"/>
  <c r="E40" i="5"/>
  <c r="E39" i="5"/>
  <c r="E38" i="5"/>
  <c r="E37" i="5"/>
  <c r="D46" i="5"/>
  <c r="D45" i="5"/>
  <c r="D44" i="5"/>
  <c r="D43" i="5"/>
  <c r="D42" i="5"/>
  <c r="D41" i="5"/>
  <c r="D40" i="5"/>
  <c r="D39" i="5"/>
  <c r="D38" i="5"/>
  <c r="D37" i="5"/>
  <c r="F83" i="2"/>
  <c r="B37" i="5" a="1"/>
  <c r="B37" i="5" s="1"/>
  <c r="F107" i="2" l="1"/>
  <c r="L105" i="2"/>
  <c r="H113" i="2"/>
  <c r="F113" i="2"/>
  <c r="F111" i="2"/>
  <c r="F115" i="2" s="1"/>
  <c r="H111" i="2"/>
  <c r="H115" i="2" s="1"/>
  <c r="F119" i="2"/>
  <c r="E47" i="5"/>
  <c r="F89" i="2" s="1"/>
  <c r="G47" i="5"/>
  <c r="F87" i="2" s="1"/>
  <c r="F95" i="2"/>
  <c r="J47" i="5"/>
  <c r="F47" i="5"/>
  <c r="F93" i="2" s="1"/>
  <c r="F121" i="2" l="1"/>
  <c r="L107" i="2"/>
  <c r="A34" i="5" a="1"/>
  <c r="A34" i="5" s="1"/>
  <c r="B34" i="5" a="1"/>
  <c r="B34" i="5" s="1"/>
  <c r="C34" i="5" a="1"/>
  <c r="C34" i="5"/>
  <c r="D34" i="5" a="1"/>
  <c r="D34" i="5"/>
  <c r="E34" i="5" a="1"/>
  <c r="E34" i="5"/>
  <c r="F34" i="5" a="1"/>
  <c r="F34" i="5"/>
  <c r="G34" i="5" a="1"/>
  <c r="G34" i="5"/>
  <c r="H34" i="5" a="1"/>
  <c r="H34" i="5"/>
  <c r="I34" i="5" a="1"/>
  <c r="I34" i="5"/>
  <c r="J34" i="5" a="1"/>
  <c r="J34" i="5" s="1"/>
  <c r="K34" i="5" a="1"/>
  <c r="K34" i="5" s="1"/>
  <c r="K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2" i="5"/>
  <c r="C3" i="5"/>
  <c r="D3" i="5"/>
  <c r="E3" i="5"/>
  <c r="F3" i="5"/>
  <c r="G3" i="5"/>
  <c r="H3" i="5"/>
  <c r="I3" i="5"/>
  <c r="J3" i="5"/>
  <c r="C4" i="5"/>
  <c r="D4" i="5"/>
  <c r="E4" i="5"/>
  <c r="F4" i="5"/>
  <c r="G4" i="5"/>
  <c r="H4" i="5"/>
  <c r="I4" i="5"/>
  <c r="J4" i="5"/>
  <c r="C5" i="5"/>
  <c r="D5" i="5"/>
  <c r="E5" i="5"/>
  <c r="F5" i="5"/>
  <c r="G5" i="5"/>
  <c r="H5" i="5"/>
  <c r="I5" i="5"/>
  <c r="J5" i="5"/>
  <c r="C6" i="5"/>
  <c r="D6" i="5"/>
  <c r="E6" i="5"/>
  <c r="F6" i="5"/>
  <c r="G6" i="5"/>
  <c r="H6" i="5"/>
  <c r="I6" i="5"/>
  <c r="J6" i="5"/>
  <c r="C7" i="5"/>
  <c r="D7" i="5"/>
  <c r="E7" i="5"/>
  <c r="F7" i="5"/>
  <c r="G7" i="5"/>
  <c r="H7" i="5"/>
  <c r="I7" i="5"/>
  <c r="J7" i="5"/>
  <c r="C8" i="5"/>
  <c r="D8" i="5"/>
  <c r="E8" i="5"/>
  <c r="F8" i="5"/>
  <c r="G8" i="5"/>
  <c r="H8" i="5"/>
  <c r="I8" i="5"/>
  <c r="J8" i="5"/>
  <c r="C9" i="5"/>
  <c r="D9" i="5"/>
  <c r="E9" i="5"/>
  <c r="F9" i="5"/>
  <c r="G9" i="5"/>
  <c r="H9" i="5"/>
  <c r="I9" i="5"/>
  <c r="J9" i="5"/>
  <c r="C10" i="5"/>
  <c r="D10" i="5"/>
  <c r="E10" i="5"/>
  <c r="F10" i="5"/>
  <c r="G10" i="5"/>
  <c r="H10" i="5"/>
  <c r="I10" i="5"/>
  <c r="J10" i="5"/>
  <c r="C11" i="5"/>
  <c r="D11" i="5"/>
  <c r="E11" i="5"/>
  <c r="F11" i="5"/>
  <c r="G11" i="5"/>
  <c r="H11" i="5"/>
  <c r="I11" i="5"/>
  <c r="J11" i="5"/>
  <c r="C12" i="5"/>
  <c r="D12" i="5"/>
  <c r="E12" i="5"/>
  <c r="F12" i="5"/>
  <c r="G12" i="5"/>
  <c r="H12" i="5"/>
  <c r="I12" i="5"/>
  <c r="J12" i="5"/>
  <c r="C13" i="5"/>
  <c r="D13" i="5"/>
  <c r="E13" i="5"/>
  <c r="F13" i="5"/>
  <c r="G13" i="5"/>
  <c r="H13" i="5"/>
  <c r="I13" i="5"/>
  <c r="J13" i="5"/>
  <c r="C14" i="5"/>
  <c r="D14" i="5"/>
  <c r="E14" i="5"/>
  <c r="F14" i="5"/>
  <c r="G14" i="5"/>
  <c r="H14" i="5"/>
  <c r="I14" i="5"/>
  <c r="J14" i="5"/>
  <c r="C15" i="5"/>
  <c r="D15" i="5"/>
  <c r="E15" i="5"/>
  <c r="F15" i="5"/>
  <c r="G15" i="5"/>
  <c r="H15" i="5"/>
  <c r="I15" i="5"/>
  <c r="J15" i="5"/>
  <c r="C16" i="5"/>
  <c r="D16" i="5"/>
  <c r="E16" i="5"/>
  <c r="F16" i="5"/>
  <c r="G16" i="5"/>
  <c r="H16" i="5"/>
  <c r="I16" i="5"/>
  <c r="J16" i="5"/>
  <c r="C17" i="5"/>
  <c r="D17" i="5"/>
  <c r="E17" i="5"/>
  <c r="F17" i="5"/>
  <c r="G17" i="5"/>
  <c r="H17" i="5"/>
  <c r="I17" i="5"/>
  <c r="J17" i="5"/>
  <c r="C18" i="5"/>
  <c r="D18" i="5"/>
  <c r="E18" i="5"/>
  <c r="F18" i="5"/>
  <c r="G18" i="5"/>
  <c r="H18" i="5"/>
  <c r="I18" i="5"/>
  <c r="J18" i="5"/>
  <c r="C19" i="5"/>
  <c r="D19" i="5"/>
  <c r="E19" i="5"/>
  <c r="F19" i="5"/>
  <c r="G19" i="5"/>
  <c r="H19" i="5"/>
  <c r="I19" i="5"/>
  <c r="J19" i="5"/>
  <c r="C20" i="5"/>
  <c r="D20" i="5"/>
  <c r="E20" i="5"/>
  <c r="F20" i="5"/>
  <c r="G20" i="5"/>
  <c r="H20" i="5"/>
  <c r="I20" i="5"/>
  <c r="J20" i="5"/>
  <c r="C21" i="5"/>
  <c r="D21" i="5"/>
  <c r="E21" i="5"/>
  <c r="F21" i="5"/>
  <c r="G21" i="5"/>
  <c r="H21" i="5"/>
  <c r="I21" i="5"/>
  <c r="J21" i="5"/>
  <c r="C22" i="5"/>
  <c r="D22" i="5"/>
  <c r="E22" i="5"/>
  <c r="F22" i="5"/>
  <c r="G22" i="5"/>
  <c r="H22" i="5"/>
  <c r="I22" i="5"/>
  <c r="J22" i="5"/>
  <c r="C23" i="5"/>
  <c r="D23" i="5"/>
  <c r="E23" i="5"/>
  <c r="F23" i="5"/>
  <c r="G23" i="5"/>
  <c r="H23" i="5"/>
  <c r="I23" i="5"/>
  <c r="J23" i="5"/>
  <c r="C24" i="5"/>
  <c r="D24" i="5"/>
  <c r="E24" i="5"/>
  <c r="F24" i="5"/>
  <c r="G24" i="5"/>
  <c r="H24" i="5"/>
  <c r="I24" i="5"/>
  <c r="J24" i="5"/>
  <c r="C25" i="5"/>
  <c r="D25" i="5"/>
  <c r="E25" i="5"/>
  <c r="F25" i="5"/>
  <c r="G25" i="5"/>
  <c r="H25" i="5"/>
  <c r="I25" i="5"/>
  <c r="J25" i="5"/>
  <c r="C26" i="5"/>
  <c r="D26" i="5"/>
  <c r="E26" i="5"/>
  <c r="F26" i="5"/>
  <c r="G26" i="5"/>
  <c r="H26" i="5"/>
  <c r="I26" i="5"/>
  <c r="J26" i="5"/>
  <c r="C27" i="5"/>
  <c r="D27" i="5"/>
  <c r="E27" i="5"/>
  <c r="F27" i="5"/>
  <c r="G27" i="5"/>
  <c r="H27" i="5"/>
  <c r="I27" i="5"/>
  <c r="J27" i="5"/>
  <c r="C28" i="5"/>
  <c r="D28" i="5"/>
  <c r="E28" i="5"/>
  <c r="F28" i="5"/>
  <c r="G28" i="5"/>
  <c r="H28" i="5"/>
  <c r="I28" i="5"/>
  <c r="J28" i="5"/>
  <c r="C29" i="5"/>
  <c r="D29" i="5"/>
  <c r="E29" i="5"/>
  <c r="F29" i="5"/>
  <c r="G29" i="5"/>
  <c r="H29" i="5"/>
  <c r="I29" i="5"/>
  <c r="J29" i="5"/>
  <c r="C30" i="5"/>
  <c r="D30" i="5"/>
  <c r="E30" i="5"/>
  <c r="F30" i="5"/>
  <c r="G30" i="5"/>
  <c r="H30" i="5"/>
  <c r="I30" i="5"/>
  <c r="J30" i="5"/>
  <c r="C31" i="5"/>
  <c r="D31" i="5"/>
  <c r="E31" i="5"/>
  <c r="F31" i="5"/>
  <c r="G31" i="5"/>
  <c r="H31" i="5"/>
  <c r="I31" i="5"/>
  <c r="J31" i="5"/>
  <c r="C32" i="5"/>
  <c r="D32" i="5"/>
  <c r="E32" i="5"/>
  <c r="F32" i="5"/>
  <c r="G32" i="5"/>
  <c r="H32" i="5"/>
  <c r="I32" i="5"/>
  <c r="J32" i="5"/>
  <c r="C33" i="5"/>
  <c r="D33" i="5"/>
  <c r="E33" i="5"/>
  <c r="F33" i="5"/>
  <c r="G33" i="5"/>
  <c r="H33" i="5"/>
  <c r="I33" i="5"/>
  <c r="J33" i="5"/>
  <c r="J2" i="5"/>
  <c r="I2" i="5"/>
  <c r="H2" i="5"/>
  <c r="G2" i="5"/>
  <c r="F2" i="5"/>
  <c r="E2" i="5"/>
  <c r="D2" i="5"/>
  <c r="C2" i="5"/>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2" i="5"/>
  <c r="A33" i="5"/>
  <c r="A32" i="5"/>
  <c r="A3" i="5"/>
  <c r="A4" i="5"/>
  <c r="A5" i="5"/>
  <c r="A6" i="5"/>
  <c r="A7" i="5"/>
  <c r="A8" i="5"/>
  <c r="A9" i="5"/>
  <c r="A10" i="5"/>
  <c r="A11" i="5"/>
  <c r="A12" i="5"/>
  <c r="A13" i="5"/>
  <c r="A14" i="5"/>
  <c r="A15" i="5"/>
  <c r="A16" i="5"/>
  <c r="A17" i="5"/>
  <c r="A18" i="5"/>
  <c r="A19" i="5"/>
  <c r="A20" i="5"/>
  <c r="A21" i="5"/>
  <c r="A22" i="5"/>
  <c r="A23" i="5"/>
  <c r="A24" i="5"/>
  <c r="A25" i="5"/>
  <c r="A26" i="5"/>
  <c r="A27" i="5"/>
  <c r="A28" i="5"/>
  <c r="A29" i="5"/>
  <c r="A30" i="5"/>
  <c r="A31" i="5"/>
  <c r="A2" i="5"/>
  <c r="H16" i="4"/>
  <c r="I16" i="4"/>
  <c r="B1" i="5" s="1"/>
  <c r="J16" i="4"/>
  <c r="K16" i="4"/>
  <c r="L16" i="4"/>
  <c r="C1" i="5" s="1"/>
  <c r="M16" i="4"/>
  <c r="N16" i="4"/>
  <c r="O16" i="4"/>
  <c r="P16" i="4"/>
  <c r="Q16" i="4"/>
  <c r="R16" i="4"/>
  <c r="D1" i="5" s="1"/>
  <c r="S16" i="4"/>
  <c r="T16" i="4"/>
  <c r="U16" i="4"/>
  <c r="V16" i="4"/>
  <c r="W16" i="4"/>
  <c r="X16" i="4"/>
  <c r="Y16" i="4"/>
  <c r="Z16" i="4"/>
  <c r="AA16" i="4"/>
  <c r="AB16" i="4"/>
  <c r="AC16" i="4"/>
  <c r="E1" i="5" s="1"/>
  <c r="AD16" i="4"/>
  <c r="AE16" i="4"/>
  <c r="F1" i="5" s="1"/>
  <c r="AF16" i="4"/>
  <c r="AG16" i="4"/>
  <c r="AH16" i="4"/>
  <c r="AI16" i="4"/>
  <c r="AJ16" i="4"/>
  <c r="G1" i="5" s="1"/>
  <c r="AK16" i="4"/>
  <c r="AL16" i="4"/>
  <c r="AM16" i="4"/>
  <c r="AN16" i="4"/>
  <c r="AO16" i="4"/>
  <c r="H1" i="5" s="1"/>
  <c r="AP16" i="4"/>
  <c r="AQ16" i="4"/>
  <c r="AR16" i="4"/>
  <c r="AS16" i="4"/>
  <c r="AT16" i="4"/>
  <c r="AU16" i="4"/>
  <c r="I1" i="5" s="1"/>
  <c r="AV16" i="4"/>
  <c r="J1" i="5" s="1"/>
  <c r="AW16" i="4"/>
  <c r="AX16" i="4"/>
  <c r="AY16" i="4"/>
  <c r="AZ16" i="4"/>
  <c r="BA16" i="4"/>
  <c r="BB16" i="4"/>
  <c r="BC16" i="4"/>
  <c r="G16" i="4"/>
  <c r="A1" i="5" s="1"/>
  <c r="F16" i="4"/>
  <c r="A37" i="5" l="1" a="1"/>
  <c r="A37" i="5" s="1"/>
  <c r="H8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Sandro Braun</author>
  </authors>
  <commentList>
    <comment ref="E109" authorId="0" shapeId="0" xr:uid="{CFD10B96-0B3E-4F64-BC2B-56480B3C523B}">
      <text>
        <r>
          <rPr>
            <b/>
            <sz val="9"/>
            <color indexed="81"/>
            <rFont val="Segoe UI"/>
            <family val="2"/>
          </rPr>
          <t>Stabw = Standardabweichung)</t>
        </r>
      </text>
    </comment>
    <comment ref="E111" authorId="0" shapeId="0" xr:uid="{C0F509D9-260B-452A-BE19-B5EABF456C3F}">
      <text>
        <r>
          <rPr>
            <b/>
            <sz val="9"/>
            <color indexed="81"/>
            <rFont val="Segoe UI"/>
            <family val="2"/>
          </rPr>
          <t>Stabw. = Standardabweichung</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<sst xmlns="http://schemas.openxmlformats.org/spreadsheetml/2006/main" count="764" uniqueCount="343">
  <si>
    <t>Department of Finance</t>
  </si>
  <si>
    <t>© Teaching Center</t>
  </si>
  <si>
    <t>Involving Activity 2: Performance Attribution and Evaluation</t>
  </si>
  <si>
    <t xml:space="preserve">In der IA 2 geht es darum, die realisierte Rendite deines Portfolios zu analysieren und zu verstehen. Zudem sollst du herausfinden, welche Faktoren bzw. Positionen die wichtigsten Renditetreiber deines Portfolios waren.
Bei der Beantwortung der untenstehenden Fragen solltest du dich auf dein persönliches Portfolio aus der IA 1 beziehen und mit denselben Portfoliogewichten arbeiten. Die für alle Berechnungen benötigten Daten findest du in der Lasche „Daten“.
</t>
  </si>
  <si>
    <t>Name</t>
  </si>
  <si>
    <t>Frage 1</t>
  </si>
  <si>
    <r>
      <t xml:space="preserve">Bestimme für alle Anleihenpositionen sowohl die </t>
    </r>
    <r>
      <rPr>
        <b/>
        <sz val="12"/>
        <color theme="1"/>
        <rFont val="Calibri"/>
        <family val="2"/>
        <scheme val="minor"/>
      </rPr>
      <t>realisierte Rendite</t>
    </r>
    <r>
      <rPr>
        <sz val="12"/>
        <color theme="1"/>
        <rFont val="Calibri"/>
        <family val="2"/>
        <scheme val="minor"/>
      </rPr>
      <t xml:space="preserve"> über den gesamten Betrachtungszeitraum als auch die daraus abgeleitete </t>
    </r>
    <r>
      <rPr>
        <b/>
        <sz val="12"/>
        <color theme="1"/>
        <rFont val="Calibri"/>
        <family val="2"/>
        <scheme val="minor"/>
      </rPr>
      <t>annualisierte Rendite</t>
    </r>
    <r>
      <rPr>
        <sz val="12"/>
        <color theme="1"/>
        <rFont val="Calibri"/>
        <family val="2"/>
        <scheme val="minor"/>
      </rPr>
      <t>.</t>
    </r>
  </si>
  <si>
    <t>ISIN</t>
  </si>
  <si>
    <t>Emittent</t>
  </si>
  <si>
    <t>Ticker</t>
  </si>
  <si>
    <t>Land</t>
  </si>
  <si>
    <t>Verfall</t>
  </si>
  <si>
    <t>Coupon</t>
  </si>
  <si>
    <t>YTM</t>
  </si>
  <si>
    <t>Rating</t>
  </si>
  <si>
    <t>Kredit-spread</t>
  </si>
  <si>
    <t>Mod. Duration</t>
  </si>
  <si>
    <r>
      <t>Preis</t>
    </r>
    <r>
      <rPr>
        <b/>
        <vertAlign val="subscript"/>
        <sz val="10"/>
        <color theme="0"/>
        <rFont val="Arial"/>
        <family val="2"/>
      </rPr>
      <t>Clean</t>
    </r>
  </si>
  <si>
    <t>Währung</t>
  </si>
  <si>
    <t>Sektor</t>
  </si>
  <si>
    <t>Kapitalstruktur</t>
  </si>
  <si>
    <t>Callable</t>
  </si>
  <si>
    <t>Nachhaltig</t>
  </si>
  <si>
    <t>Deine Gewichtung</t>
  </si>
  <si>
    <t>Realisierte Rendite</t>
  </si>
  <si>
    <t>Annualisierte Rendite</t>
  </si>
  <si>
    <t>US037833DB33</t>
  </si>
  <si>
    <t>APPLE INC</t>
  </si>
  <si>
    <t>AAPL</t>
  </si>
  <si>
    <t>US</t>
  </si>
  <si>
    <t>2027-09-12</t>
  </si>
  <si>
    <t>AA+</t>
  </si>
  <si>
    <t>USD</t>
  </si>
  <si>
    <t>Technology Hardware, Storage and Peripherals</t>
  </si>
  <si>
    <t>Senior Unsecured</t>
  </si>
  <si>
    <t>true</t>
  </si>
  <si>
    <t>false</t>
  </si>
  <si>
    <t>US05253JB751</t>
  </si>
  <si>
    <t>AUSTRALIA AND NEW ZEALAND BANKING MTN</t>
  </si>
  <si>
    <t>ANZ</t>
  </si>
  <si>
    <t>AU</t>
  </si>
  <si>
    <t>2028-06-18</t>
  </si>
  <si>
    <t>AA-</t>
  </si>
  <si>
    <t>Banks</t>
  </si>
  <si>
    <t>XS2058948451</t>
  </si>
  <si>
    <t>BAHRAIN (KINGDOM OF) MTN RegS</t>
  </si>
  <si>
    <t>BHRAIN</t>
  </si>
  <si>
    <t>BH</t>
  </si>
  <si>
    <t>2031-09-30</t>
  </si>
  <si>
    <t>B+</t>
  </si>
  <si>
    <t>Sovereign</t>
  </si>
  <si>
    <t>US056752AR92</t>
  </si>
  <si>
    <t>BAIDU INC</t>
  </si>
  <si>
    <t>BIDU</t>
  </si>
  <si>
    <t>CN</t>
  </si>
  <si>
    <t>2030-04-07</t>
  </si>
  <si>
    <t>A</t>
  </si>
  <si>
    <t>IT Services</t>
  </si>
  <si>
    <t>US06051GGC78</t>
  </si>
  <si>
    <t>BANK OF AMERICA CORP MTN</t>
  </si>
  <si>
    <t>BAC</t>
  </si>
  <si>
    <t>2027-11-25</t>
  </si>
  <si>
    <t>A-</t>
  </si>
  <si>
    <t>Subordinated</t>
  </si>
  <si>
    <t>US097023CV59</t>
  </si>
  <si>
    <t>BOEING CO</t>
  </si>
  <si>
    <t>BA</t>
  </si>
  <si>
    <t>2040-05-01</t>
  </si>
  <si>
    <t>BBB-</t>
  </si>
  <si>
    <t>Aerospace and Defense</t>
  </si>
  <si>
    <t>US172967KU42</t>
  </si>
  <si>
    <t>CITIGROUP INC</t>
  </si>
  <si>
    <t>C</t>
  </si>
  <si>
    <t>2028-07-25</t>
  </si>
  <si>
    <t>BBB+</t>
  </si>
  <si>
    <t>US126650EB25</t>
  </si>
  <si>
    <t>CVS HEALTH CORP</t>
  </si>
  <si>
    <t>CVS</t>
  </si>
  <si>
    <t>2029-06-01</t>
  </si>
  <si>
    <t>BBB</t>
  </si>
  <si>
    <t>Health Care Providers and Services</t>
  </si>
  <si>
    <t>US247361ZN12</t>
  </si>
  <si>
    <t>DELTA AIR LINES INC</t>
  </si>
  <si>
    <t>DAL</t>
  </si>
  <si>
    <t>2028-04-19</t>
  </si>
  <si>
    <t>Airlines</t>
  </si>
  <si>
    <t>XS2079842642</t>
  </si>
  <si>
    <t>EGYPT (ARAB REPUBLIC OF) MTN RegS</t>
  </si>
  <si>
    <t>EGYPT</t>
  </si>
  <si>
    <t>EG</t>
  </si>
  <si>
    <t>2032-01-15</t>
  </si>
  <si>
    <t>B-</t>
  </si>
  <si>
    <t>XS2539374673</t>
  </si>
  <si>
    <t>FIRST ABU DHABI BANK PJSC MTN RegS</t>
  </si>
  <si>
    <t>FABUH</t>
  </si>
  <si>
    <t>AE</t>
  </si>
  <si>
    <t>2027-10-13</t>
  </si>
  <si>
    <t>US345370DA55</t>
  </si>
  <si>
    <t>FORD MOTOR COMPANY</t>
  </si>
  <si>
    <t>F</t>
  </si>
  <si>
    <t>2032-02-12</t>
  </si>
  <si>
    <t>Automobiles</t>
  </si>
  <si>
    <t>US36962GXZ26</t>
  </si>
  <si>
    <t>GENERAL ELECTRIC CO MTN</t>
  </si>
  <si>
    <t>GE</t>
  </si>
  <si>
    <t>2032-03-15</t>
  </si>
  <si>
    <t>Electric Utilities</t>
  </si>
  <si>
    <t>US37045VAY65</t>
  </si>
  <si>
    <t>GENERAL MOTORS CO</t>
  </si>
  <si>
    <t>GM</t>
  </si>
  <si>
    <t>2029-10-15</t>
  </si>
  <si>
    <t>US42824CBT53</t>
  </si>
  <si>
    <t>HEWLETT PACKARD ENTERPRISE CO</t>
  </si>
  <si>
    <t>HPE</t>
  </si>
  <si>
    <t>Internet Software and Services</t>
  </si>
  <si>
    <t>US438127AF94</t>
  </si>
  <si>
    <t>HONDA MOTOR CO LTD</t>
  </si>
  <si>
    <t>HNDA</t>
  </si>
  <si>
    <t>JP</t>
  </si>
  <si>
    <t>2035-07-08</t>
  </si>
  <si>
    <t>US404280EX36</t>
  </si>
  <si>
    <t>HSBC HOLDINGS PLC</t>
  </si>
  <si>
    <t>HSBC</t>
  </si>
  <si>
    <t>GB</t>
  </si>
  <si>
    <t>2036-05-13</t>
  </si>
  <si>
    <t>US455780DQ66</t>
  </si>
  <si>
    <t>INDONESIA (REPUBLIC OF)</t>
  </si>
  <si>
    <t>INDON</t>
  </si>
  <si>
    <t>ID</t>
  </si>
  <si>
    <t>2028-01-11</t>
  </si>
  <si>
    <t>US456837BS18</t>
  </si>
  <si>
    <t>ING GROEP NV</t>
  </si>
  <si>
    <t>INTNED</t>
  </si>
  <si>
    <t>NL</t>
  </si>
  <si>
    <t>2036-03-25</t>
  </si>
  <si>
    <t>US458140CG35</t>
  </si>
  <si>
    <t>INTEL CORPORATION</t>
  </si>
  <si>
    <t>INTC</t>
  </si>
  <si>
    <t>2033-02-10</t>
  </si>
  <si>
    <t>Semiconductors and Semiconductor Equipment</t>
  </si>
  <si>
    <t>US500630EG96</t>
  </si>
  <si>
    <t>KOREA DEVELOPMENT BANK</t>
  </si>
  <si>
    <t>KDB</t>
  </si>
  <si>
    <t>KR</t>
  </si>
  <si>
    <t>2028-02-03</t>
  </si>
  <si>
    <t>AA</t>
  </si>
  <si>
    <t>Quasi-sovereign</t>
  </si>
  <si>
    <t>USY5257YAL12</t>
  </si>
  <si>
    <t>LENOVO GROUP LTD RegS</t>
  </si>
  <si>
    <t>LENOVO</t>
  </si>
  <si>
    <t>2028-01-27</t>
  </si>
  <si>
    <t>US539439AQ24</t>
  </si>
  <si>
    <t>LLOYDS BANKING GROUP PLC</t>
  </si>
  <si>
    <t>LLOYDS</t>
  </si>
  <si>
    <t>2028-11-07</t>
  </si>
  <si>
    <t>US539830CA58</t>
  </si>
  <si>
    <t>LOCKHEED MARTIN CORPORATION</t>
  </si>
  <si>
    <t>LMT</t>
  </si>
  <si>
    <t>2034-02-15</t>
  </si>
  <si>
    <t>US30303M8H84</t>
  </si>
  <si>
    <t>META PLATFORMS INC</t>
  </si>
  <si>
    <t>META</t>
  </si>
  <si>
    <t>2032-08-15</t>
  </si>
  <si>
    <t>US59156RAM07</t>
  </si>
  <si>
    <t>METLIFE INC</t>
  </si>
  <si>
    <t>MET</t>
  </si>
  <si>
    <t>2035-06-15</t>
  </si>
  <si>
    <t>Insurance</t>
  </si>
  <si>
    <t>US91087BAH33</t>
  </si>
  <si>
    <t>MEXICO (UNITED MEXICAN STATES) (GO</t>
  </si>
  <si>
    <t>MEX</t>
  </si>
  <si>
    <t>MX</t>
  </si>
  <si>
    <t>2030-04-16</t>
  </si>
  <si>
    <t>US606822DL51</t>
  </si>
  <si>
    <t>MITSUBISHI UFJ FINANCIAL GROUP INC</t>
  </si>
  <si>
    <t>MUFG</t>
  </si>
  <si>
    <t>2036-04-24</t>
  </si>
  <si>
    <t>US674599ED34</t>
  </si>
  <si>
    <t>OCCIDENTAL PETROLEUM CORPORATION</t>
  </si>
  <si>
    <t>OXY</t>
  </si>
  <si>
    <t>2030-09-01</t>
  </si>
  <si>
    <t>BB+</t>
  </si>
  <si>
    <t>Oil, Gas and Consumable Fuels</t>
  </si>
  <si>
    <t>XS1932866079</t>
  </si>
  <si>
    <t>OIL INDIA LTD RegS</t>
  </si>
  <si>
    <t>OINLIN</t>
  </si>
  <si>
    <t>IN</t>
  </si>
  <si>
    <t>2029-02-04</t>
  </si>
  <si>
    <t>US68389XAV73</t>
  </si>
  <si>
    <t>ORACLE CORPORATION</t>
  </si>
  <si>
    <t>ORCL</t>
  </si>
  <si>
    <t>2034-07-08</t>
  </si>
  <si>
    <t>Software</t>
  </si>
  <si>
    <t>XS1729875598</t>
  </si>
  <si>
    <t>PAKISTAN (ISLAMIC REPUBLIC OF) RegS</t>
  </si>
  <si>
    <t>PKSTAN</t>
  </si>
  <si>
    <t>PK</t>
  </si>
  <si>
    <t>2027-12-05</t>
  </si>
  <si>
    <t>US71654QDF63</t>
  </si>
  <si>
    <t>PETROLEOS MEXICANOS</t>
  </si>
  <si>
    <t>PEMEX</t>
  </si>
  <si>
    <t>2060-01-28</t>
  </si>
  <si>
    <t>US718286BD89</t>
  </si>
  <si>
    <t>PHILIPPINES (REPUBLIC OF)</t>
  </si>
  <si>
    <t>PHILIP</t>
  </si>
  <si>
    <t>PH</t>
  </si>
  <si>
    <t>US718547AY80</t>
  </si>
  <si>
    <t>PHILLIPS 66 CO</t>
  </si>
  <si>
    <t>PSX</t>
  </si>
  <si>
    <t>2035-03-15</t>
  </si>
  <si>
    <t>US78016HZQ63</t>
  </si>
  <si>
    <t>ROYAL BANK OF CANADA MTN</t>
  </si>
  <si>
    <t>RY</t>
  </si>
  <si>
    <t>CA</t>
  </si>
  <si>
    <t>2033-05-02</t>
  </si>
  <si>
    <t>XS2262853265</t>
  </si>
  <si>
    <t>SAUDI ARABIAN OIL CO MTN RegS</t>
  </si>
  <si>
    <t>ARAMCO</t>
  </si>
  <si>
    <t>SA</t>
  </si>
  <si>
    <t>2030-11-24</t>
  </si>
  <si>
    <t>A+</t>
  </si>
  <si>
    <t>XS1619155564</t>
  </si>
  <si>
    <t>SENEGAL (REPUBLIC OF) RegS</t>
  </si>
  <si>
    <t>SENEGL</t>
  </si>
  <si>
    <t>SN</t>
  </si>
  <si>
    <t>2033-05-23</t>
  </si>
  <si>
    <t>US836205BC70</t>
  </si>
  <si>
    <t>SOUTH AFRICA (REPUBLIC OF)</t>
  </si>
  <si>
    <t>SOAF</t>
  </si>
  <si>
    <t>ZA</t>
  </si>
  <si>
    <t>2032-04-20</t>
  </si>
  <si>
    <t>BB-</t>
  </si>
  <si>
    <t>USG84228FZ63</t>
  </si>
  <si>
    <t>STANDARD CHARTERED PLC RegS</t>
  </si>
  <si>
    <t>STANLN</t>
  </si>
  <si>
    <t>HK</t>
  </si>
  <si>
    <t>2030-02-08</t>
  </si>
  <si>
    <t>US88032XAG97</t>
  </si>
  <si>
    <t>TENCENT HOLDINGS LTD MTN RegS</t>
  </si>
  <si>
    <t>TENCNT</t>
  </si>
  <si>
    <t>2028-01-19</t>
  </si>
  <si>
    <t>US91282CNC19</t>
  </si>
  <si>
    <t>TREASURY NOTE</t>
  </si>
  <si>
    <t>T</t>
  </si>
  <si>
    <t>2035-05-15</t>
  </si>
  <si>
    <t>Unsecured</t>
  </si>
  <si>
    <t>US91282CLF67</t>
  </si>
  <si>
    <t>2034-08-15</t>
  </si>
  <si>
    <t>US91282CHT18</t>
  </si>
  <si>
    <t>2033-08-15</t>
  </si>
  <si>
    <t>US91282CCS89</t>
  </si>
  <si>
    <t>2031-08-15</t>
  </si>
  <si>
    <t>US91282CKX82</t>
  </si>
  <si>
    <t>2029-06-30</t>
  </si>
  <si>
    <t>US91282CJF95</t>
  </si>
  <si>
    <t>2028-10-31</t>
  </si>
  <si>
    <t>US9128284V99</t>
  </si>
  <si>
    <t>2028-08-15</t>
  </si>
  <si>
    <t>US90353TAP57</t>
  </si>
  <si>
    <t>UBER TECHNOLOGIES INC</t>
  </si>
  <si>
    <t>UBER</t>
  </si>
  <si>
    <t>2034-09-15</t>
  </si>
  <si>
    <t>Road and Rail</t>
  </si>
  <si>
    <t>US961214FC22</t>
  </si>
  <si>
    <t>WESTPAC BANKING CORP</t>
  </si>
  <si>
    <t>WSTP</t>
  </si>
  <si>
    <t>2027-08-26</t>
  </si>
  <si>
    <t>Frage 2</t>
  </si>
  <si>
    <r>
      <t>Berechne die</t>
    </r>
    <r>
      <rPr>
        <b/>
        <sz val="12"/>
        <color theme="1"/>
        <rFont val="Calibri"/>
        <family val="2"/>
        <scheme val="minor"/>
      </rPr>
      <t xml:space="preserve"> zentralen Eigenschaften</t>
    </r>
    <r>
      <rPr>
        <sz val="12"/>
        <color theme="1"/>
        <rFont val="Calibri"/>
        <family val="2"/>
        <scheme val="minor"/>
      </rPr>
      <t xml:space="preserve"> deines Portfolios (unter Verwendung deiner spezifischen Portfoliogewichte) sowie eines gleichgewichteten Portfolios, das im Folgenden als Benchmark dient.</t>
    </r>
  </si>
  <si>
    <t>Portfolio</t>
  </si>
  <si>
    <t>Benchmark</t>
  </si>
  <si>
    <t>Relativ</t>
  </si>
  <si>
    <t>Anzahl Titel</t>
  </si>
  <si>
    <t>Ø Coupon</t>
  </si>
  <si>
    <t>Ø Restlaufzeit</t>
  </si>
  <si>
    <t>Ø Verfallsrendite</t>
  </si>
  <si>
    <t>Ø Rating</t>
  </si>
  <si>
    <t>Ø Kreditspread</t>
  </si>
  <si>
    <t>DTS</t>
  </si>
  <si>
    <t>%-Anteil HY Bonds</t>
  </si>
  <si>
    <t>Frage 3</t>
  </si>
  <si>
    <t>Berechne die historische Performance deines Portfolios, die Performance der Benchmark sowie die daraus resultierende Überrendite deines Portfolios gegenüber der Benchmark. Der Betrachtungszeitraum umfasst den 01.10.2025 bis 17.11.2025. Die hierfür benötigten Daten findest du in der Lasche „Daten“. Berechne zusätzlich die wichtigsten Performancekennzahlen, um die Resultate besser einordnen zu können. Nimm für die Berechnungen einen risikolosen Zinssatz von 0.25% p.a. an.</t>
  </si>
  <si>
    <t>Rendite</t>
  </si>
  <si>
    <t>Rendite (annualisiert)</t>
  </si>
  <si>
    <t>Stabw</t>
  </si>
  <si>
    <t>Stabw (annualisiert)</t>
  </si>
  <si>
    <t>Sharpe Ratio (SR)</t>
  </si>
  <si>
    <t>SR (annualisiert)</t>
  </si>
  <si>
    <t>Tracking Error</t>
  </si>
  <si>
    <t>Information Ratio (IR)</t>
  </si>
  <si>
    <t>IR (annualisiert)</t>
  </si>
  <si>
    <t>Beschreibe und beurteile anhand obiger Kennzahlen die absolute und relative Performance deines Portfolios:</t>
  </si>
  <si>
    <t>Frage 4</t>
  </si>
  <si>
    <r>
      <t xml:space="preserve">Stelle die </t>
    </r>
    <r>
      <rPr>
        <b/>
        <sz val="12"/>
        <color theme="1"/>
        <rFont val="Calibri"/>
        <family val="2"/>
        <scheme val="minor"/>
      </rPr>
      <t>kumulierte Rendite</t>
    </r>
    <r>
      <rPr>
        <sz val="12"/>
        <color theme="1"/>
        <rFont val="Calibri"/>
        <family val="2"/>
        <scheme val="minor"/>
      </rPr>
      <t xml:space="preserve"> deines Portfolios, der Benchmark sowie die kumulierte Überrendite des Portfolios in einer </t>
    </r>
    <r>
      <rPr>
        <b/>
        <sz val="12"/>
        <color theme="1"/>
        <rFont val="Calibri"/>
        <family val="2"/>
        <scheme val="minor"/>
      </rPr>
      <t>Liniengrafik</t>
    </r>
    <r>
      <rPr>
        <sz val="12"/>
        <color theme="1"/>
        <rFont val="Calibri"/>
        <family val="2"/>
        <scheme val="minor"/>
      </rPr>
      <t xml:space="preserve"> dar. Nutze dafür den nachfolgend eingefärbten Bereich als Grösse für die Darstellung.
Achte darauf, dass Titel, Achsenbeschriftungen und Legende vollständig und korrekt beschriftet sind und der Inhalt klar erkennbar ist.</t>
    </r>
  </si>
  <si>
    <t>Frage 5</t>
  </si>
  <si>
    <t>Identifiziere die drei besten und die drei schlechtesten Positionen (Anleihen) in deinem Portfolio. Berechne zudem den Renditebeitrag der Positionen zur Gesamtperformance des Portfolios und gib diesen in Basispunkten (bp) an.</t>
  </si>
  <si>
    <t>Position</t>
  </si>
  <si>
    <t>Renditebeitrag (in bp)</t>
  </si>
  <si>
    <t>Beste Position</t>
  </si>
  <si>
    <t>Zweitbeste Position</t>
  </si>
  <si>
    <t>Drittbeste Position</t>
  </si>
  <si>
    <t>Schlechteste Position</t>
  </si>
  <si>
    <t>Zweitschlechteste Position</t>
  </si>
  <si>
    <t>Drittschlechteste Position</t>
  </si>
  <si>
    <t>Frage 6</t>
  </si>
  <si>
    <r>
      <t xml:space="preserve">Beschreibe und erläutere deine </t>
    </r>
    <r>
      <rPr>
        <b/>
        <sz val="12"/>
        <color theme="1"/>
        <rFont val="Calibri"/>
        <family val="2"/>
        <scheme val="minor"/>
      </rPr>
      <t>absolute Performance</t>
    </r>
    <r>
      <rPr>
        <sz val="12"/>
        <color theme="1"/>
        <rFont val="Calibri"/>
        <family val="2"/>
        <scheme val="minor"/>
      </rPr>
      <t xml:space="preserve"> anhand der wichtigsten Top-Down-Faktoren – Zinsen, Kredit und Währungen. Analysiere, welche dieser Faktoren den grössten Einfluss auf dein Portfolio hatten.
Nutze als Informationsgrundlage unter anderem die Informationen auf "https://fimweb-production.up.railway.app/" (passwort: fim). </t>
    </r>
  </si>
  <si>
    <t>Frage 7</t>
  </si>
  <si>
    <r>
      <t xml:space="preserve">Beschreibe und erläutere deine </t>
    </r>
    <r>
      <rPr>
        <b/>
        <sz val="12"/>
        <color theme="1"/>
        <rFont val="Calibri"/>
        <family val="2"/>
        <scheme val="minor"/>
      </rPr>
      <t>relative Performance</t>
    </r>
    <r>
      <rPr>
        <sz val="12"/>
        <color theme="1"/>
        <rFont val="Calibri"/>
        <family val="2"/>
        <scheme val="minor"/>
      </rPr>
      <t xml:space="preserve"> anhand der wichtigsten Top-Down-Faktoren – Zinsen, Kredit und Währungen. Analysiere, welche dieser Faktoren den grössten Einfluss auf deine relative Performance hatten und warum.
Erkläre zudem, in welchen Bereichen sich dein Portfolio am stärksten von der Benchmark unterschieden hat und wie diese Unterschiede die relative Performance positiv oder negativ beeinflusst haben.
Nutze als Informationsgrundlage unter anderem die Angaben auf "https://fimweb-production.up.railway.app/" (passwort: fim). </t>
    </r>
  </si>
  <si>
    <t>Frage 8</t>
  </si>
  <si>
    <t>Was würdest du aus heutiger Sicht an deinem Portfolio ändern, wenn du nochmals starten könntest?</t>
  </si>
  <si>
    <t>Nachfolgend findest du die Total-Return-Kursdaten der Anleihen in deinem Portfolio. Diese Total-Return-Serien beinhalten sowohl Preisveränderungen als auch Couponzahlungen und können daher direkt zur Berechnung der Performance der jeweiligen Anleihen verwendet werden.</t>
  </si>
  <si>
    <t>Ivan Camilo Dorado Dorado</t>
  </si>
  <si>
    <t>PORTFOLIO</t>
  </si>
  <si>
    <t>Returns</t>
  </si>
  <si>
    <t>Maturity</t>
  </si>
  <si>
    <t>Spread</t>
  </si>
  <si>
    <t>Mod Dur</t>
  </si>
  <si>
    <t>Rest time</t>
  </si>
  <si>
    <t>AAA</t>
  </si>
  <si>
    <t>BB</t>
  </si>
  <si>
    <t>B</t>
  </si>
  <si>
    <t>CCC+</t>
  </si>
  <si>
    <t>CCC</t>
  </si>
  <si>
    <t>CCC-</t>
  </si>
  <si>
    <t>CC</t>
  </si>
  <si>
    <t>D</t>
  </si>
  <si>
    <t>Num Rating</t>
  </si>
  <si>
    <t>BENCHMARK PORTFOLIO</t>
  </si>
  <si>
    <t>Return</t>
  </si>
  <si>
    <t>A bis A-</t>
  </si>
  <si>
    <t>Eigenes Portfolio</t>
  </si>
  <si>
    <t>Überrendite</t>
  </si>
  <si>
    <t>Ret Rank</t>
  </si>
  <si>
    <t>Ret Ranking</t>
  </si>
  <si>
    <t>Anhand obiger Kennzahlen kann man schlussfolgern, dass man keine gute Auswahl getroffen hat. Annualisierte Rendite und Sharpe Ratio der Benchmark sind höher als die Kennzahlen meines Portfolios. Man wäre besser mit einem einfachen gleichgewichteten Portfolio gestellt als mit meinem aktiven Management. Nach sorgfältiger Überprüfung ist die Gesamtrendite aufgrund des Oracle Bonds, der sehr schlecht war, viel tiefer ausgefallen</t>
  </si>
  <si>
    <t>In den Zinsen sehen wir eine relativ kleine Parallelverschiebung der Zinskurve nach unten. Dies könnte man auf den letzten Rate-Cut der US Fed am 27. Oktober. Dies hat eine positive Auswirkung auf die Bonds. Die Verschlechterung der Rendite ab dem 28. Oktober ist höchstwahrscheinlich auf die zunehmenden Spreads zurückzuführen, denn Corporate Bonds fallen normalerweise, wenn Spreads zunehmen. Es gibt keinen FX Effekt, da alle Bonds in USD emittiert wurden. Die Effekte der Zinsen und der Spreads erklären, warum die besten Bonds die US Treasury Notes und die schlechtesten Corporate Bonds sind. Zudem habe ich herausgefunden, dass die Rate eines 5J-CDS auf Oracle auf dem höchsten Niveau der letzten 5 Jahren ist, was erklären könnte, warum der Oracle Bond am schlechtesten performt hat</t>
  </si>
  <si>
    <t>Sortiert nach Return</t>
  </si>
  <si>
    <t>Sortiert nach Rating</t>
  </si>
  <si>
    <t>Rendite IG</t>
  </si>
  <si>
    <t>Rendite HY</t>
  </si>
  <si>
    <t>Rendite HY ohne Senegal</t>
  </si>
  <si>
    <t>Tech-Bonds haben relativ schlecht performt im Vergleich zu Government-Bonds und Öl-Firmen. Wahrscheinlich hat es mit der Überinvestition in KI, die oft mit viel Fremdkapital finanziert wird. Ich hätte weniger mögliche Zinssenkungen berücksichtigt und einen grösseren Fokus auf Spreads gelegt. Die Rendite eines gleichgewichteten Portfolios aus IG Bonds hat mit Abstand besser performt als ein gleichgewichtetes Portfolio von High-Yield-Bonds. Die relative negative Performance des HY-Portfolios aus einem einzigen Bond stammt, obwohl man sagen muss, dass ohne den Senegal-Bond ein gleichgewichtetes Portfolio aus HY besser performt hätte als die IG-Bonds.
Fazit: Ein Portfolio aufbauen, welches auf nachhaltigere Kapitalstruktur (Spreads Effekt) basiert, Öl-Exposure hat und mit Goverment-Bonds der USA diversifiziert</t>
  </si>
  <si>
    <t>Aufgrund der höheren Diversifikation und den grösseren Anteil an Government-Bonds anderer Länder hat die Benchmark nicht nur rendite-technisch mein Portfolio geschlagen, sondern einen höheren Sharpe Ratio erreicht. Die Effekte der Spreads sind in diesem Portfolio besser diversifiziert und gute Renditen aus  einigen Schwellenländern erhöhen sogar die Gesamtrendite. Die guten Ausrastern waren leider nicht in meinem Portfolio, was dazu führte, dass mein Portfolio schlechter als die Benchmark performte. Da ich aber den schlechtesten Ausraster auch nicht hatte, ist mein Portfolio nicht so weit entfernt von der Benchmark.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</si>
</sst>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CHF&quot;\ #,##0"/>
    <numFmt numFmtId="165" formatCode="0.0"/>
    <numFmt numFmtId="166" formatCode="0.000%"/>
    <numFmt numFmtId="167" formatCode="0.0000%"/>
  </numFmts>
  <fonts count="18" x14ac:knownFonts="1">
    <font>
      <sz val="11"/>
      <color theme="1"/>
      <name val="Calibri"/>
      <family val="2"/>
      <scheme val="minor"/>
    </font>
    <font>
      <sz val="11"/>
      <color theme="1"/>
      <name val="Calibri"/>
      <family val="2"/>
      <scheme val="minor"/>
    </font>
    <font>
      <b/>
      <sz val="10"/>
      <color theme="0"/>
      <name val="Arial"/>
      <family val="2"/>
    </font>
    <font>
      <sz val="11"/>
      <color theme="1"/>
      <name val="Calibri Light"/>
      <family val="2"/>
      <scheme val="major"/>
    </font>
    <font>
      <sz val="10"/>
      <color theme="1"/>
      <name val="Calibri"/>
      <family val="2"/>
      <scheme val="minor"/>
    </font>
    <font>
      <sz val="10"/>
      <name val="Calibri"/>
      <family val="2"/>
      <scheme val="minor"/>
    </font>
    <font>
      <b/>
      <sz val="16"/>
      <color theme="0"/>
      <name val="Calibri"/>
      <family val="2"/>
      <scheme val="minor"/>
    </font>
    <font>
      <b/>
      <sz val="10"/>
      <color theme="1"/>
      <name val="Calibri"/>
      <family val="2"/>
      <scheme val="minor"/>
    </font>
    <font>
      <b/>
      <sz val="10"/>
      <color theme="0"/>
      <name val="Calibri"/>
      <family val="2"/>
      <scheme val="minor"/>
    </font>
    <font>
      <sz val="10"/>
      <color rgb="FFFF0000"/>
      <name val="Calibri"/>
      <family val="2"/>
      <scheme val="minor"/>
    </font>
    <font>
      <sz val="11"/>
      <color theme="0"/>
      <name val="Calibri"/>
      <family val="2"/>
      <scheme val="minor"/>
    </font>
    <font>
      <b/>
      <vertAlign val="subscript"/>
      <sz val="10"/>
      <color theme="0"/>
      <name val="Arial"/>
      <family val="2"/>
    </font>
    <font>
      <sz val="11"/>
      <name val="Calibri Light"/>
      <family val="2"/>
      <scheme val="major"/>
    </font>
    <font>
      <sz val="12"/>
      <color theme="1"/>
      <name val="Calibri"/>
      <family val="2"/>
      <scheme val="minor"/>
    </font>
    <font>
      <b/>
      <sz val="12"/>
      <color theme="1"/>
      <name val="Calibri"/>
      <family val="2"/>
      <scheme val="minor"/>
    </font>
    <font>
      <b/>
      <sz val="9"/>
      <color indexed="81"/>
      <name val="Segoe UI"/>
      <family val="2"/>
    </font>
    <font>
      <sz val="12"/>
      <color theme="0"/>
      <name val="Calibri"/>
      <family val="2"/>
      <scheme val="minor"/>
    </font>
    <font>
      <b/>
      <sz val="11"/>
      <color theme="1"/>
      <name val="Calibri"/>
      <family val="2"/>
      <scheme val="minor"/>
    </font>
  </fonts>
  <fills count="10">
    <fill>
      <patternFill patternType="none"/>
    </fill>
    <fill>
      <patternFill patternType="gray125"/>
    </fill>
    <fill>
      <patternFill patternType="solid">
        <fgColor rgb="FF2F4F4F"/>
        <bgColor indexed="64"/>
      </patternFill>
    </fill>
    <fill>
      <patternFill patternType="solid">
        <fgColor rgb="FFD8E8E8"/>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rgb="FFFFFF00"/>
        <bgColor indexed="64"/>
      </patternFill>
    </fill>
    <fill>
      <patternFill patternType="solid">
        <fgColor theme="9"/>
        <bgColor indexed="64"/>
      </patternFill>
    </fill>
    <fill>
      <patternFill patternType="solid">
        <fgColor theme="5"/>
        <bgColor indexed="64"/>
      </patternFill>
    </fill>
  </fills>
  <borders count="32">
    <border>
      <left/>
      <right/>
      <top/>
      <bottom/>
      <diagonal/>
    </border>
    <border>
      <left/>
      <right/>
      <top/>
      <bottom style="thin">
        <color indexed="64"/>
      </bottom>
      <diagonal/>
    </border>
    <border>
      <left/>
      <right/>
      <top style="thin">
        <color indexed="64"/>
      </top>
      <bottom/>
      <diagonal/>
    </border>
    <border>
      <left style="thin">
        <color rgb="FF2F4F4F"/>
      </left>
      <right style="thin">
        <color rgb="FF2F4F4F"/>
      </right>
      <top style="thin">
        <color theme="0"/>
      </top>
      <bottom style="thin">
        <color theme="0"/>
      </bottom>
      <diagonal/>
    </border>
    <border>
      <left style="thin">
        <color rgb="FF2F4F4F"/>
      </left>
      <right/>
      <top style="thin">
        <color rgb="FF2F4F4F"/>
      </top>
      <bottom style="thin">
        <color rgb="FF2F4F4F"/>
      </bottom>
      <diagonal/>
    </border>
    <border>
      <left/>
      <right/>
      <top style="thin">
        <color rgb="FF2F4F4F"/>
      </top>
      <bottom style="thin">
        <color rgb="FF2F4F4F"/>
      </bottom>
      <diagonal/>
    </border>
    <border>
      <left/>
      <right style="thin">
        <color rgb="FF2F4F4F"/>
      </right>
      <top style="thin">
        <color rgb="FF2F4F4F"/>
      </top>
      <bottom style="thin">
        <color rgb="FF2F4F4F"/>
      </bottom>
      <diagonal/>
    </border>
    <border>
      <left style="thin">
        <color rgb="FF2F4F4F"/>
      </left>
      <right/>
      <top style="thin">
        <color rgb="FF2F4F4F"/>
      </top>
      <bottom/>
      <diagonal/>
    </border>
    <border>
      <left/>
      <right/>
      <top style="thin">
        <color rgb="FF2F4F4F"/>
      </top>
      <bottom/>
      <diagonal/>
    </border>
    <border>
      <left/>
      <right style="thin">
        <color rgb="FF2F4F4F"/>
      </right>
      <top style="thin">
        <color rgb="FF2F4F4F"/>
      </top>
      <bottom/>
      <diagonal/>
    </border>
    <border>
      <left style="thin">
        <color rgb="FF2F4F4F"/>
      </left>
      <right/>
      <top/>
      <bottom/>
      <diagonal/>
    </border>
    <border>
      <left/>
      <right style="thin">
        <color rgb="FF2F4F4F"/>
      </right>
      <top/>
      <bottom/>
      <diagonal/>
    </border>
    <border>
      <left style="thin">
        <color rgb="FF2F4F4F"/>
      </left>
      <right/>
      <top/>
      <bottom style="thin">
        <color rgb="FF2F4F4F"/>
      </bottom>
      <diagonal/>
    </border>
    <border>
      <left/>
      <right/>
      <top/>
      <bottom style="thin">
        <color rgb="FF2F4F4F"/>
      </bottom>
      <diagonal/>
    </border>
    <border>
      <left/>
      <right style="thin">
        <color rgb="FF2F4F4F"/>
      </right>
      <top/>
      <bottom style="thin">
        <color rgb="FF2F4F4F"/>
      </bottom>
      <diagonal/>
    </border>
    <border>
      <left style="thin">
        <color rgb="FF2F4F4F"/>
      </left>
      <right style="thin">
        <color rgb="FF2F4F4F"/>
      </right>
      <top style="thin">
        <color theme="0"/>
      </top>
      <bottom style="thin">
        <color indexed="64"/>
      </bottom>
      <diagonal/>
    </border>
    <border>
      <left/>
      <right/>
      <top/>
      <bottom style="thin">
        <color theme="0"/>
      </bottom>
      <diagonal/>
    </border>
    <border>
      <left style="thin">
        <color rgb="FF2F4F4F"/>
      </left>
      <right style="thin">
        <color rgb="FF2F4F4F"/>
      </right>
      <top/>
      <bottom/>
      <diagonal/>
    </border>
    <border>
      <left style="thin">
        <color rgb="FF2F4F4F"/>
      </left>
      <right style="thin">
        <color rgb="FF2F4F4F"/>
      </right>
      <top style="thin">
        <color rgb="FF2F4F4F"/>
      </top>
      <bottom style="thin">
        <color rgb="FF2F4F4F"/>
      </bottom>
      <diagonal/>
    </border>
    <border>
      <left/>
      <right/>
      <top style="thin">
        <color theme="0"/>
      </top>
      <bottom style="thin">
        <color theme="0"/>
      </bottom>
      <diagonal/>
    </border>
    <border>
      <left/>
      <right/>
      <top style="thin">
        <color theme="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s>
  <cellStyleXfs count="3">
    <xf numFmtId="0" fontId="0" fillId="0" borderId="0"/>
    <xf numFmtId="9" fontId="1" fillId="0" borderId="0" applyFont="0" applyFill="0" applyBorder="0" applyAlignment="0" applyProtection="0"/>
    <xf numFmtId="166" fontId="1" fillId="0" borderId="21"/>
  </cellStyleXfs>
  <cellXfs count="159">
    <xf numFmtId="0" fontId="0" fillId="0" borderId="0" xfId="0"/>
    <xf numFmtId="0" fontId="0" fillId="2" borderId="0" xfId="0" applyFill="1"/>
    <xf numFmtId="0" fontId="3" fillId="0" borderId="0" xfId="0" applyFont="1" applyAlignment="1">
      <alignment vertical="center" wrapText="1"/>
    </xf>
    <xf numFmtId="0" fontId="4" fillId="0" borderId="0" xfId="0" applyFont="1"/>
    <xf numFmtId="0" fontId="0" fillId="0" borderId="0" xfId="0" applyAlignment="1">
      <alignment vertical="top" wrapText="1"/>
    </xf>
    <xf numFmtId="0" fontId="4" fillId="0" borderId="0" xfId="0" applyFont="1" applyAlignment="1">
      <alignment horizontal="right"/>
    </xf>
    <xf numFmtId="0" fontId="5" fillId="0" borderId="0" xfId="0" applyFont="1" applyAlignment="1">
      <alignment horizontal="right" vertical="center"/>
    </xf>
    <xf numFmtId="0" fontId="6" fillId="2" borderId="0" xfId="0" applyFont="1" applyFill="1"/>
    <xf numFmtId="0" fontId="4" fillId="0" borderId="0" xfId="0" applyFont="1" applyAlignment="1">
      <alignment vertical="top" wrapText="1"/>
    </xf>
    <xf numFmtId="0" fontId="8" fillId="2" borderId="16" xfId="0" applyFont="1" applyFill="1" applyBorder="1" applyAlignment="1">
      <alignment horizontal="center" vertical="center" wrapText="1"/>
    </xf>
    <xf numFmtId="10" fontId="0" fillId="3" borderId="17" xfId="1" applyNumberFormat="1" applyFont="1" applyFill="1" applyBorder="1" applyAlignment="1">
      <alignment horizontal="center" vertical="top" wrapText="1"/>
    </xf>
    <xf numFmtId="10" fontId="0" fillId="3" borderId="3" xfId="1" applyNumberFormat="1" applyFont="1" applyFill="1" applyBorder="1" applyAlignment="1">
      <alignment horizontal="center" vertical="top" wrapText="1"/>
    </xf>
    <xf numFmtId="10" fontId="0" fillId="3" borderId="15" xfId="1" applyNumberFormat="1" applyFont="1" applyFill="1" applyBorder="1" applyAlignment="1">
      <alignment horizontal="center" vertical="top" wrapText="1"/>
    </xf>
    <xf numFmtId="0" fontId="9" fillId="0" borderId="0" xfId="0" applyFont="1" applyAlignment="1">
      <alignment horizontal="center"/>
    </xf>
    <xf numFmtId="0" fontId="4" fillId="0" borderId="0" xfId="0" applyFont="1" applyAlignment="1">
      <alignment horizontal="left"/>
    </xf>
    <xf numFmtId="10" fontId="4" fillId="0" borderId="0" xfId="1" applyNumberFormat="1" applyFont="1" applyFill="1" applyBorder="1" applyAlignment="1">
      <alignment horizontal="left"/>
    </xf>
    <xf numFmtId="2" fontId="4" fillId="0" borderId="0" xfId="0" applyNumberFormat="1" applyFont="1" applyAlignment="1">
      <alignment horizontal="left"/>
    </xf>
    <xf numFmtId="164" fontId="4" fillId="0" borderId="0" xfId="0" applyNumberFormat="1" applyFont="1" applyAlignment="1">
      <alignment horizontal="left"/>
    </xf>
    <xf numFmtId="1" fontId="4" fillId="0" borderId="0" xfId="0" applyNumberFormat="1" applyFont="1"/>
    <xf numFmtId="0" fontId="7" fillId="0" borderId="0" xfId="0" applyFont="1"/>
    <xf numFmtId="10" fontId="0" fillId="0" borderId="0" xfId="0" applyNumberFormat="1"/>
    <xf numFmtId="0" fontId="0" fillId="0" borderId="2" xfId="0" applyBorder="1" applyAlignment="1">
      <alignment vertical="top" wrapText="1"/>
    </xf>
    <xf numFmtId="0" fontId="2" fillId="2" borderId="16" xfId="0" applyFont="1" applyFill="1" applyBorder="1" applyAlignment="1">
      <alignment horizontal="center" vertical="center"/>
    </xf>
    <xf numFmtId="0" fontId="2" fillId="2" borderId="16" xfId="0" applyFont="1" applyFill="1" applyBorder="1" applyAlignment="1">
      <alignment horizontal="left" vertical="center"/>
    </xf>
    <xf numFmtId="0" fontId="2" fillId="2" borderId="16" xfId="0" applyFont="1" applyFill="1" applyBorder="1" applyAlignment="1">
      <alignment horizontal="center" vertical="center" wrapText="1"/>
    </xf>
    <xf numFmtId="0" fontId="3" fillId="0" borderId="0" xfId="0" applyFont="1" applyAlignment="1">
      <alignment vertical="center"/>
    </xf>
    <xf numFmtId="14" fontId="12" fillId="0" borderId="0" xfId="0" applyNumberFormat="1" applyFont="1" applyAlignment="1">
      <alignment horizontal="center" vertical="center" wrapText="1"/>
    </xf>
    <xf numFmtId="2" fontId="12" fillId="0" borderId="0" xfId="0" applyNumberFormat="1" applyFont="1" applyAlignment="1">
      <alignment horizontal="center" vertical="center" wrapText="1"/>
    </xf>
    <xf numFmtId="10" fontId="3" fillId="0" borderId="0" xfId="1" applyNumberFormat="1" applyFont="1" applyBorder="1" applyAlignment="1">
      <alignment horizontal="center" vertical="top" wrapText="1"/>
    </xf>
    <xf numFmtId="10" fontId="12" fillId="0" borderId="0" xfId="0" applyNumberFormat="1" applyFont="1" applyAlignment="1">
      <alignment horizontal="center" vertical="center" wrapText="1"/>
    </xf>
    <xf numFmtId="165" fontId="12" fillId="0" borderId="0" xfId="0" applyNumberFormat="1" applyFont="1" applyAlignment="1">
      <alignment horizontal="center" vertical="center"/>
    </xf>
    <xf numFmtId="0" fontId="12" fillId="0" borderId="0" xfId="0" applyFont="1" applyAlignment="1">
      <alignment horizontal="center" vertical="center" wrapText="1"/>
    </xf>
    <xf numFmtId="0" fontId="12" fillId="0" borderId="20" xfId="0" applyFont="1" applyBorder="1" applyAlignment="1">
      <alignment horizontal="center" vertical="center" wrapText="1"/>
    </xf>
    <xf numFmtId="0" fontId="3" fillId="0" borderId="1" xfId="0" applyFont="1" applyBorder="1" applyAlignment="1">
      <alignment vertical="center"/>
    </xf>
    <xf numFmtId="0" fontId="3" fillId="0" borderId="1" xfId="0" applyFont="1" applyBorder="1" applyAlignment="1">
      <alignment vertical="center" wrapText="1"/>
    </xf>
    <xf numFmtId="14" fontId="12" fillId="0" borderId="1" xfId="0" applyNumberFormat="1" applyFont="1" applyBorder="1" applyAlignment="1">
      <alignment horizontal="center" vertical="center" wrapText="1"/>
    </xf>
    <xf numFmtId="2" fontId="12" fillId="0" borderId="1" xfId="0" applyNumberFormat="1" applyFont="1" applyBorder="1" applyAlignment="1">
      <alignment horizontal="center" vertical="center" wrapText="1"/>
    </xf>
    <xf numFmtId="10" fontId="3" fillId="0" borderId="1" xfId="1" applyNumberFormat="1" applyFont="1" applyBorder="1" applyAlignment="1">
      <alignment horizontal="center" vertical="top" wrapText="1"/>
    </xf>
    <xf numFmtId="10" fontId="12" fillId="0" borderId="1" xfId="0" applyNumberFormat="1" applyFont="1" applyBorder="1" applyAlignment="1">
      <alignment horizontal="center" vertical="center" wrapText="1"/>
    </xf>
    <xf numFmtId="165" fontId="12" fillId="0" borderId="1" xfId="0" applyNumberFormat="1" applyFont="1" applyBorder="1" applyAlignment="1">
      <alignment horizontal="center" vertical="center"/>
    </xf>
    <xf numFmtId="0" fontId="12" fillId="0" borderId="1" xfId="0" applyFont="1" applyBorder="1" applyAlignment="1">
      <alignment horizontal="center" vertical="center" wrapText="1"/>
    </xf>
    <xf numFmtId="0" fontId="13" fillId="0" borderId="0" xfId="0" applyFont="1" applyAlignment="1">
      <alignment horizontal="left" vertical="top" wrapText="1"/>
    </xf>
    <xf numFmtId="0" fontId="13" fillId="0" borderId="0" xfId="0" applyFont="1" applyAlignment="1">
      <alignment vertical="center"/>
    </xf>
    <xf numFmtId="0" fontId="14" fillId="0" borderId="0" xfId="0" applyFont="1"/>
    <xf numFmtId="0" fontId="13" fillId="0" borderId="0" xfId="0" applyFont="1"/>
    <xf numFmtId="0" fontId="13" fillId="0" borderId="0" xfId="0" applyFont="1" applyAlignment="1">
      <alignment vertical="top" wrapText="1"/>
    </xf>
    <xf numFmtId="0" fontId="14" fillId="0" borderId="0" xfId="0" applyFont="1" applyAlignment="1">
      <alignment vertical="top" wrapText="1"/>
    </xf>
    <xf numFmtId="10" fontId="13" fillId="3" borderId="18" xfId="1" applyNumberFormat="1" applyFont="1" applyFill="1" applyBorder="1" applyAlignment="1">
      <alignment horizontal="center" vertical="top" wrapText="1"/>
    </xf>
    <xf numFmtId="0" fontId="13" fillId="0" borderId="0" xfId="0" applyFont="1" applyAlignment="1">
      <alignment wrapText="1"/>
    </xf>
    <xf numFmtId="10" fontId="13" fillId="0" borderId="0" xfId="1" applyNumberFormat="1" applyFont="1" applyFill="1" applyBorder="1" applyAlignment="1">
      <alignment horizontal="center" vertical="top" wrapText="1"/>
    </xf>
    <xf numFmtId="0" fontId="13" fillId="0" borderId="0" xfId="0" applyFont="1" applyAlignment="1">
      <alignment horizontal="left" vertical="top"/>
    </xf>
    <xf numFmtId="0" fontId="13" fillId="0" borderId="0" xfId="0" applyFont="1" applyAlignment="1">
      <alignment horizontal="center" vertical="top" wrapText="1"/>
    </xf>
    <xf numFmtId="0" fontId="13" fillId="0" borderId="0" xfId="0" applyFont="1" applyAlignment="1">
      <alignment horizontal="center"/>
    </xf>
    <xf numFmtId="10" fontId="13" fillId="3" borderId="21" xfId="1" applyNumberFormat="1" applyFont="1" applyFill="1" applyBorder="1" applyAlignment="1">
      <alignment horizontal="center" vertical="top" wrapText="1"/>
    </xf>
    <xf numFmtId="2" fontId="13" fillId="0" borderId="0" xfId="1" applyNumberFormat="1" applyFont="1" applyFill="1" applyBorder="1" applyAlignment="1">
      <alignment horizontal="center" vertical="top"/>
    </xf>
    <xf numFmtId="10" fontId="13" fillId="0" borderId="0" xfId="1" applyNumberFormat="1" applyFont="1" applyFill="1" applyBorder="1" applyAlignment="1">
      <alignment vertical="top" wrapText="1"/>
    </xf>
    <xf numFmtId="2" fontId="13" fillId="0" borderId="0" xfId="1" applyNumberFormat="1" applyFont="1" applyFill="1" applyBorder="1" applyAlignment="1">
      <alignment horizontal="center" vertical="top" wrapText="1"/>
    </xf>
    <xf numFmtId="2" fontId="13" fillId="3" borderId="21" xfId="1" applyNumberFormat="1" applyFont="1" applyFill="1" applyBorder="1" applyAlignment="1">
      <alignment horizontal="center" vertical="top" wrapText="1"/>
    </xf>
    <xf numFmtId="2" fontId="13" fillId="0" borderId="0" xfId="0" applyNumberFormat="1" applyFont="1"/>
    <xf numFmtId="2" fontId="13" fillId="3" borderId="18" xfId="1" applyNumberFormat="1" applyFont="1" applyFill="1" applyBorder="1" applyAlignment="1">
      <alignment horizontal="center" vertical="top" wrapText="1"/>
    </xf>
    <xf numFmtId="2" fontId="13" fillId="0" borderId="0" xfId="0" applyNumberFormat="1" applyFont="1" applyAlignment="1">
      <alignment horizontal="left" vertical="top" wrapText="1"/>
    </xf>
    <xf numFmtId="10" fontId="13" fillId="0" borderId="0" xfId="0" applyNumberFormat="1" applyFont="1" applyAlignment="1">
      <alignment vertical="top" wrapText="1"/>
    </xf>
    <xf numFmtId="10" fontId="13" fillId="0" borderId="0" xfId="0" applyNumberFormat="1" applyFont="1"/>
    <xf numFmtId="0" fontId="13" fillId="2" borderId="0" xfId="0" applyFont="1" applyFill="1"/>
    <xf numFmtId="9" fontId="13" fillId="0" borderId="0" xfId="0" applyNumberFormat="1" applyFont="1"/>
    <xf numFmtId="0" fontId="13" fillId="2" borderId="0" xfId="0" applyFont="1" applyFill="1" applyAlignment="1">
      <alignment horizontal="center"/>
    </xf>
    <xf numFmtId="2" fontId="13" fillId="4" borderId="0" xfId="0" applyNumberFormat="1" applyFont="1" applyFill="1" applyAlignment="1">
      <alignment horizontal="center" vertical="center"/>
    </xf>
    <xf numFmtId="2" fontId="13" fillId="0" borderId="0" xfId="0" applyNumberFormat="1" applyFont="1" applyAlignment="1">
      <alignment horizontal="center" vertical="center"/>
    </xf>
    <xf numFmtId="2" fontId="13" fillId="2" borderId="0" xfId="0" applyNumberFormat="1" applyFont="1" applyFill="1" applyAlignment="1">
      <alignment horizontal="center" vertical="center"/>
    </xf>
    <xf numFmtId="14" fontId="13" fillId="0" borderId="0" xfId="0" applyNumberFormat="1" applyFont="1" applyAlignment="1">
      <alignment horizontal="center" vertical="center"/>
    </xf>
    <xf numFmtId="0" fontId="13" fillId="0" borderId="0" xfId="0" applyFont="1" applyAlignment="1">
      <alignment horizontal="center" vertical="center"/>
    </xf>
    <xf numFmtId="0" fontId="13" fillId="0" borderId="0" xfId="0" applyFont="1" applyAlignment="1">
      <alignment horizontal="center" vertical="center" wrapText="1"/>
    </xf>
    <xf numFmtId="14" fontId="13" fillId="2" borderId="0" xfId="0" applyNumberFormat="1" applyFont="1" applyFill="1" applyAlignment="1">
      <alignment horizontal="center" vertical="center"/>
    </xf>
    <xf numFmtId="14" fontId="13" fillId="4" borderId="0" xfId="0" applyNumberFormat="1" applyFont="1" applyFill="1" applyAlignment="1">
      <alignment horizontal="center" vertical="center"/>
    </xf>
    <xf numFmtId="0" fontId="0" fillId="2" borderId="0" xfId="0" applyFill="1" applyAlignment="1">
      <alignment horizontal="center"/>
    </xf>
    <xf numFmtId="0" fontId="0" fillId="0" borderId="0" xfId="0" applyAlignment="1">
      <alignment horizontal="center"/>
    </xf>
    <xf numFmtId="14" fontId="6" fillId="2" borderId="0" xfId="0" applyNumberFormat="1" applyFont="1" applyFill="1" applyAlignment="1">
      <alignment horizontal="left" vertical="center"/>
    </xf>
    <xf numFmtId="2" fontId="16" fillId="2" borderId="0" xfId="0" applyNumberFormat="1" applyFont="1" applyFill="1" applyAlignment="1">
      <alignment horizontal="center" vertical="center"/>
    </xf>
    <xf numFmtId="14" fontId="16" fillId="2" borderId="16" xfId="0" applyNumberFormat="1" applyFont="1" applyFill="1" applyBorder="1" applyAlignment="1">
      <alignment horizontal="center" vertical="center"/>
    </xf>
    <xf numFmtId="0" fontId="16" fillId="2" borderId="0" xfId="0" applyFont="1" applyFill="1" applyAlignment="1">
      <alignment horizontal="center" vertical="center"/>
    </xf>
    <xf numFmtId="14" fontId="10" fillId="2" borderId="19" xfId="0" applyNumberFormat="1" applyFont="1" applyFill="1" applyBorder="1" applyAlignment="1">
      <alignment horizontal="center" vertical="center"/>
    </xf>
    <xf numFmtId="0" fontId="10" fillId="2" borderId="19" xfId="0" applyFont="1" applyFill="1" applyBorder="1" applyAlignment="1">
      <alignment horizontal="center" vertical="center" wrapText="1"/>
    </xf>
    <xf numFmtId="0" fontId="0" fillId="0" borderId="21" xfId="0" applyBorder="1"/>
    <xf numFmtId="166" fontId="0" fillId="0" borderId="31" xfId="1" applyNumberFormat="1" applyFont="1" applyFill="1" applyBorder="1"/>
    <xf numFmtId="0" fontId="13" fillId="3" borderId="18" xfId="1" applyNumberFormat="1" applyFont="1" applyFill="1" applyBorder="1" applyAlignment="1">
      <alignment horizontal="center" vertical="top" wrapText="1"/>
    </xf>
    <xf numFmtId="14" fontId="0" fillId="0" borderId="0" xfId="0" applyNumberFormat="1"/>
    <xf numFmtId="10" fontId="0" fillId="0" borderId="0" xfId="1" applyNumberFormat="1" applyFont="1"/>
    <xf numFmtId="0" fontId="17" fillId="5" borderId="0" xfId="0" applyFont="1" applyFill="1"/>
    <xf numFmtId="0" fontId="1" fillId="5" borderId="0" xfId="0" applyFont="1" applyFill="1" applyAlignment="1">
      <alignment vertical="center" wrapText="1"/>
    </xf>
    <xf numFmtId="0" fontId="1" fillId="6" borderId="0" xfId="0" applyFont="1" applyFill="1" applyAlignment="1">
      <alignment vertical="center" wrapText="1"/>
    </xf>
    <xf numFmtId="166" fontId="0" fillId="0" borderId="0" xfId="1" applyNumberFormat="1" applyFont="1"/>
    <xf numFmtId="167" fontId="17" fillId="0" borderId="21" xfId="1" applyNumberFormat="1" applyFont="1" applyBorder="1"/>
    <xf numFmtId="166" fontId="0" fillId="3" borderId="17" xfId="1" applyNumberFormat="1" applyFont="1" applyFill="1" applyBorder="1" applyAlignment="1">
      <alignment horizontal="center" vertical="top" wrapText="1"/>
    </xf>
    <xf numFmtId="166" fontId="0" fillId="0" borderId="21" xfId="1" applyNumberFormat="1" applyFont="1" applyBorder="1"/>
    <xf numFmtId="0" fontId="0" fillId="0" borderId="21" xfId="1" applyNumberFormat="1" applyFont="1" applyBorder="1"/>
    <xf numFmtId="167" fontId="17" fillId="0" borderId="31" xfId="1" applyNumberFormat="1" applyFont="1" applyFill="1" applyBorder="1"/>
    <xf numFmtId="14" fontId="0" fillId="0" borderId="21" xfId="0" applyNumberFormat="1" applyBorder="1"/>
    <xf numFmtId="166" fontId="0" fillId="0" borderId="21" xfId="0" applyNumberFormat="1" applyBorder="1"/>
    <xf numFmtId="10" fontId="0" fillId="0" borderId="21" xfId="1" applyNumberFormat="1" applyFont="1" applyBorder="1"/>
    <xf numFmtId="0" fontId="17" fillId="7" borderId="21" xfId="0" applyFont="1" applyFill="1" applyBorder="1"/>
    <xf numFmtId="0" fontId="0" fillId="7" borderId="21" xfId="0" applyFill="1" applyBorder="1"/>
    <xf numFmtId="166" fontId="0" fillId="6" borderId="21" xfId="1" applyNumberFormat="1" applyFont="1" applyFill="1" applyBorder="1"/>
    <xf numFmtId="166" fontId="0" fillId="5" borderId="21" xfId="1" applyNumberFormat="1" applyFont="1" applyFill="1" applyBorder="1"/>
    <xf numFmtId="0" fontId="0" fillId="8" borderId="21" xfId="1" applyNumberFormat="1" applyFont="1" applyFill="1" applyBorder="1"/>
    <xf numFmtId="0" fontId="0" fillId="6" borderId="21" xfId="1" applyNumberFormat="1" applyFont="1" applyFill="1" applyBorder="1"/>
    <xf numFmtId="0" fontId="0" fillId="9" borderId="21" xfId="1" applyNumberFormat="1" applyFont="1" applyFill="1" applyBorder="1"/>
    <xf numFmtId="166" fontId="0" fillId="7" borderId="21" xfId="1" applyNumberFormat="1" applyFont="1" applyFill="1" applyBorder="1"/>
    <xf numFmtId="166" fontId="0" fillId="7" borderId="21" xfId="0" applyNumberFormat="1" applyFill="1" applyBorder="1"/>
    <xf numFmtId="10" fontId="13" fillId="3" borderId="7" xfId="1" applyNumberFormat="1" applyFont="1" applyFill="1" applyBorder="1" applyAlignment="1">
      <alignment horizontal="center" vertical="top" wrapText="1"/>
    </xf>
    <xf numFmtId="10" fontId="13" fillId="3" borderId="8" xfId="1" applyNumberFormat="1" applyFont="1" applyFill="1" applyBorder="1" applyAlignment="1">
      <alignment horizontal="center" vertical="top" wrapText="1"/>
    </xf>
    <xf numFmtId="10" fontId="13" fillId="3" borderId="9" xfId="1" applyNumberFormat="1" applyFont="1" applyFill="1" applyBorder="1" applyAlignment="1">
      <alignment horizontal="center" vertical="top" wrapText="1"/>
    </xf>
    <xf numFmtId="10" fontId="13" fillId="3" borderId="10" xfId="1" applyNumberFormat="1" applyFont="1" applyFill="1" applyBorder="1" applyAlignment="1">
      <alignment horizontal="center" vertical="top" wrapText="1"/>
    </xf>
    <xf numFmtId="10" fontId="13" fillId="3" borderId="0" xfId="1" applyNumberFormat="1" applyFont="1" applyFill="1" applyBorder="1" applyAlignment="1">
      <alignment horizontal="center" vertical="top" wrapText="1"/>
    </xf>
    <xf numFmtId="10" fontId="13" fillId="3" borderId="11" xfId="1" applyNumberFormat="1" applyFont="1" applyFill="1" applyBorder="1" applyAlignment="1">
      <alignment horizontal="center" vertical="top" wrapText="1"/>
    </xf>
    <xf numFmtId="10" fontId="13" fillId="3" borderId="12" xfId="1" applyNumberFormat="1" applyFont="1" applyFill="1" applyBorder="1" applyAlignment="1">
      <alignment horizontal="center" vertical="top" wrapText="1"/>
    </xf>
    <xf numFmtId="10" fontId="13" fillId="3" borderId="13" xfId="1" applyNumberFormat="1" applyFont="1" applyFill="1" applyBorder="1" applyAlignment="1">
      <alignment horizontal="center" vertical="top" wrapText="1"/>
    </xf>
    <xf numFmtId="10" fontId="13" fillId="3" borderId="14" xfId="1" applyNumberFormat="1" applyFont="1" applyFill="1" applyBorder="1" applyAlignment="1">
      <alignment horizontal="center" vertical="top" wrapText="1"/>
    </xf>
    <xf numFmtId="0" fontId="13" fillId="3" borderId="25" xfId="1" applyNumberFormat="1" applyFont="1" applyFill="1" applyBorder="1" applyAlignment="1">
      <alignment horizontal="left" vertical="top" wrapText="1"/>
    </xf>
    <xf numFmtId="0" fontId="13" fillId="3" borderId="2" xfId="1" applyNumberFormat="1" applyFont="1" applyFill="1" applyBorder="1" applyAlignment="1">
      <alignment horizontal="left" vertical="top" wrapText="1"/>
    </xf>
    <xf numFmtId="0" fontId="13" fillId="3" borderId="26" xfId="1" applyNumberFormat="1" applyFont="1" applyFill="1" applyBorder="1" applyAlignment="1">
      <alignment horizontal="left" vertical="top" wrapText="1"/>
    </xf>
    <xf numFmtId="0" fontId="13" fillId="3" borderId="27" xfId="1" applyNumberFormat="1" applyFont="1" applyFill="1" applyBorder="1" applyAlignment="1">
      <alignment horizontal="left" vertical="top" wrapText="1"/>
    </xf>
    <xf numFmtId="0" fontId="13" fillId="3" borderId="0" xfId="1" applyNumberFormat="1" applyFont="1" applyFill="1" applyBorder="1" applyAlignment="1">
      <alignment horizontal="left" vertical="top" wrapText="1"/>
    </xf>
    <xf numFmtId="0" fontId="13" fillId="3" borderId="28" xfId="1" applyNumberFormat="1" applyFont="1" applyFill="1" applyBorder="1" applyAlignment="1">
      <alignment horizontal="left" vertical="top" wrapText="1"/>
    </xf>
    <xf numFmtId="0" fontId="13" fillId="3" borderId="29" xfId="1" applyNumberFormat="1" applyFont="1" applyFill="1" applyBorder="1" applyAlignment="1">
      <alignment horizontal="left" vertical="top" wrapText="1"/>
    </xf>
    <xf numFmtId="0" fontId="13" fillId="3" borderId="1" xfId="1" applyNumberFormat="1" applyFont="1" applyFill="1" applyBorder="1" applyAlignment="1">
      <alignment horizontal="left" vertical="top" wrapText="1"/>
    </xf>
    <xf numFmtId="0" fontId="13" fillId="3" borderId="30" xfId="1" applyNumberFormat="1" applyFont="1" applyFill="1" applyBorder="1" applyAlignment="1">
      <alignment horizontal="left" vertical="top" wrapText="1"/>
    </xf>
    <xf numFmtId="0" fontId="13" fillId="3" borderId="25" xfId="0" applyFont="1" applyFill="1" applyBorder="1" applyAlignment="1">
      <alignment horizontal="left" vertical="top" wrapText="1"/>
    </xf>
    <xf numFmtId="0" fontId="13" fillId="3" borderId="2" xfId="0" applyFont="1" applyFill="1" applyBorder="1" applyAlignment="1">
      <alignment horizontal="left" vertical="top" wrapText="1"/>
    </xf>
    <xf numFmtId="0" fontId="13" fillId="3" borderId="26" xfId="0" applyFont="1" applyFill="1" applyBorder="1" applyAlignment="1">
      <alignment horizontal="left" vertical="top" wrapText="1"/>
    </xf>
    <xf numFmtId="0" fontId="13" fillId="3" borderId="27" xfId="0" applyFont="1" applyFill="1" applyBorder="1" applyAlignment="1">
      <alignment horizontal="left" vertical="top" wrapText="1"/>
    </xf>
    <xf numFmtId="0" fontId="13" fillId="3" borderId="0" xfId="0" applyFont="1" applyFill="1" applyAlignment="1">
      <alignment horizontal="left" vertical="top" wrapText="1"/>
    </xf>
    <xf numFmtId="0" fontId="13" fillId="3" borderId="28" xfId="0" applyFont="1" applyFill="1" applyBorder="1" applyAlignment="1">
      <alignment horizontal="left" vertical="top" wrapText="1"/>
    </xf>
    <xf numFmtId="0" fontId="13" fillId="3" borderId="29" xfId="0" applyFont="1" applyFill="1" applyBorder="1" applyAlignment="1">
      <alignment horizontal="left" vertical="top" wrapText="1"/>
    </xf>
    <xf numFmtId="0" fontId="13" fillId="3" borderId="1" xfId="0" applyFont="1" applyFill="1" applyBorder="1" applyAlignment="1">
      <alignment horizontal="left" vertical="top" wrapText="1"/>
    </xf>
    <xf numFmtId="0" fontId="13" fillId="3" borderId="30" xfId="0" applyFont="1" applyFill="1" applyBorder="1" applyAlignment="1">
      <alignment horizontal="left" vertical="top" wrapText="1"/>
    </xf>
    <xf numFmtId="2" fontId="13" fillId="3" borderId="22" xfId="1" applyNumberFormat="1" applyFont="1" applyFill="1" applyBorder="1" applyAlignment="1">
      <alignment horizontal="center" vertical="top" wrapText="1"/>
    </xf>
    <xf numFmtId="2" fontId="13" fillId="3" borderId="23" xfId="1" applyNumberFormat="1" applyFont="1" applyFill="1" applyBorder="1" applyAlignment="1">
      <alignment horizontal="center" vertical="top" wrapText="1"/>
    </xf>
    <xf numFmtId="2" fontId="13" fillId="3" borderId="24" xfId="1" applyNumberFormat="1" applyFont="1" applyFill="1" applyBorder="1" applyAlignment="1">
      <alignment horizontal="center" vertical="top" wrapText="1"/>
    </xf>
    <xf numFmtId="10" fontId="13" fillId="0" borderId="0" xfId="1" applyNumberFormat="1" applyFont="1" applyFill="1" applyBorder="1" applyAlignment="1">
      <alignment horizontal="center" vertical="top" wrapText="1"/>
    </xf>
    <xf numFmtId="0" fontId="13" fillId="0" borderId="0" xfId="0" applyFont="1" applyAlignment="1">
      <alignment horizontal="left" vertical="top" wrapText="1"/>
    </xf>
    <xf numFmtId="10" fontId="13" fillId="3" borderId="22" xfId="1" applyNumberFormat="1" applyFont="1" applyFill="1" applyBorder="1" applyAlignment="1">
      <alignment horizontal="center" vertical="top" wrapText="1"/>
    </xf>
    <xf numFmtId="10" fontId="13" fillId="3" borderId="23" xfId="1" applyNumberFormat="1" applyFont="1" applyFill="1" applyBorder="1" applyAlignment="1">
      <alignment horizontal="center" vertical="top" wrapText="1"/>
    </xf>
    <xf numFmtId="10" fontId="13" fillId="3" borderId="24" xfId="1" applyNumberFormat="1" applyFont="1" applyFill="1" applyBorder="1" applyAlignment="1">
      <alignment horizontal="center" vertical="top" wrapText="1"/>
    </xf>
    <xf numFmtId="0" fontId="13" fillId="3" borderId="22" xfId="1" applyNumberFormat="1" applyFont="1" applyFill="1" applyBorder="1" applyAlignment="1">
      <alignment horizontal="center" vertical="top" wrapText="1"/>
    </xf>
    <xf numFmtId="0" fontId="13" fillId="3" borderId="23" xfId="1" applyNumberFormat="1" applyFont="1" applyFill="1" applyBorder="1" applyAlignment="1">
      <alignment horizontal="center" vertical="top" wrapText="1"/>
    </xf>
    <xf numFmtId="0" fontId="13" fillId="3" borderId="24" xfId="1" applyNumberFormat="1" applyFont="1" applyFill="1" applyBorder="1" applyAlignment="1">
      <alignment horizontal="center" vertical="top" wrapText="1"/>
    </xf>
    <xf numFmtId="0" fontId="14" fillId="0" borderId="0" xfId="0" applyFont="1" applyAlignment="1">
      <alignment horizontal="left" vertical="top" wrapText="1"/>
    </xf>
    <xf numFmtId="10" fontId="13" fillId="3" borderId="4" xfId="1" applyNumberFormat="1" applyFont="1" applyFill="1" applyBorder="1" applyAlignment="1">
      <alignment horizontal="center" vertical="top" wrapText="1"/>
    </xf>
    <xf numFmtId="10" fontId="13" fillId="3" borderId="5" xfId="1" applyNumberFormat="1" applyFont="1" applyFill="1" applyBorder="1" applyAlignment="1">
      <alignment horizontal="center" vertical="top" wrapText="1"/>
    </xf>
    <xf numFmtId="10" fontId="13" fillId="3" borderId="6" xfId="1" applyNumberFormat="1" applyFont="1" applyFill="1" applyBorder="1" applyAlignment="1">
      <alignment horizontal="center" vertical="top" wrapText="1"/>
    </xf>
    <xf numFmtId="0" fontId="13" fillId="0" borderId="0" xfId="0" applyFont="1" applyAlignment="1">
      <alignment horizontal="left" vertical="center" wrapText="1"/>
    </xf>
    <xf numFmtId="0" fontId="13" fillId="0" borderId="13" xfId="0" applyFont="1" applyBorder="1" applyAlignment="1">
      <alignment horizontal="left" vertical="top" wrapText="1"/>
    </xf>
    <xf numFmtId="166" fontId="13" fillId="3" borderId="22" xfId="1" applyNumberFormat="1" applyFont="1" applyFill="1" applyBorder="1" applyAlignment="1">
      <alignment horizontal="center" vertical="top" wrapText="1"/>
    </xf>
    <xf numFmtId="166" fontId="13" fillId="3" borderId="23" xfId="1" applyNumberFormat="1" applyFont="1" applyFill="1" applyBorder="1" applyAlignment="1">
      <alignment horizontal="center" vertical="top" wrapText="1"/>
    </xf>
    <xf numFmtId="166" fontId="13" fillId="3" borderId="24" xfId="1" applyNumberFormat="1" applyFont="1" applyFill="1" applyBorder="1" applyAlignment="1">
      <alignment horizontal="center" vertical="top" wrapText="1"/>
    </xf>
    <xf numFmtId="0" fontId="13" fillId="0" borderId="0" xfId="0" applyFont="1" applyAlignment="1">
      <alignment horizontal="center"/>
    </xf>
    <xf numFmtId="9" fontId="13" fillId="3" borderId="22" xfId="1" applyNumberFormat="1" applyFont="1" applyFill="1" applyBorder="1" applyAlignment="1">
      <alignment horizontal="center" vertical="top" wrapText="1"/>
    </xf>
    <xf numFmtId="9" fontId="13" fillId="3" borderId="23" xfId="1" applyNumberFormat="1" applyFont="1" applyFill="1" applyBorder="1" applyAlignment="1">
      <alignment horizontal="center" vertical="top" wrapText="1"/>
    </xf>
    <xf numFmtId="9" fontId="13" fillId="3" borderId="24" xfId="1" applyNumberFormat="1" applyFont="1" applyFill="1" applyBorder="1" applyAlignment="1">
      <alignment horizontal="center" vertical="top" wrapText="1"/>
    </xf>
  </cellXfs>
  <cellStyles count="3">
    <cellStyle name="Prozent" xfId="1" builtinId="5"/>
    <cellStyle name="Return" xfId="2" xr:uid="{53E9AF11-4CB4-4B1F-8828-332BB191680C}"/>
    <cellStyle name="Standard" xfId="0" builtinId="0"/>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2F4F4F"/>
      <color rgb="FFD8E8E8"/>
      <color rgb="FFA1C8C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Kumulierte</a:t>
            </a:r>
            <a:r>
              <a:rPr lang="de-CH" baseline="0"/>
              <a:t> Rendite</a:t>
            </a:r>
            <a:endParaRPr lang="de-C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CH"/>
        </a:p>
      </c:txPr>
    </c:title>
    <c:autoTitleDeleted val="0"/>
    <c:plotArea>
      <c:layout/>
      <c:lineChart>
        <c:grouping val="standard"/>
        <c:varyColors val="0"/>
        <c:ser>
          <c:idx val="0"/>
          <c:order val="0"/>
          <c:tx>
            <c:strRef>
              <c:f>'Work with data'!$N$1</c:f>
              <c:strCache>
                <c:ptCount val="1"/>
                <c:pt idx="0">
                  <c:v>Eigenes Portfolio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'Work with data'!$M$2:$M$33</c:f>
              <c:numCache>
                <c:formatCode>m/d/yyyy</c:formatCode>
                <c:ptCount val="32"/>
                <c:pt idx="0">
                  <c:v>45932</c:v>
                </c:pt>
                <c:pt idx="1">
                  <c:v>45933</c:v>
                </c:pt>
                <c:pt idx="2">
                  <c:v>45936</c:v>
                </c:pt>
                <c:pt idx="3">
                  <c:v>45937</c:v>
                </c:pt>
                <c:pt idx="4">
                  <c:v>45938</c:v>
                </c:pt>
                <c:pt idx="5">
                  <c:v>45939</c:v>
                </c:pt>
                <c:pt idx="6">
                  <c:v>45940</c:v>
                </c:pt>
                <c:pt idx="7">
                  <c:v>45944</c:v>
                </c:pt>
                <c:pt idx="8">
                  <c:v>45945</c:v>
                </c:pt>
                <c:pt idx="9">
                  <c:v>45946</c:v>
                </c:pt>
                <c:pt idx="10">
                  <c:v>45947</c:v>
                </c:pt>
                <c:pt idx="11">
                  <c:v>45950</c:v>
                </c:pt>
                <c:pt idx="12">
                  <c:v>45951</c:v>
                </c:pt>
                <c:pt idx="13">
                  <c:v>45952</c:v>
                </c:pt>
                <c:pt idx="14">
                  <c:v>45953</c:v>
                </c:pt>
                <c:pt idx="15">
                  <c:v>45954</c:v>
                </c:pt>
                <c:pt idx="16">
                  <c:v>45957</c:v>
                </c:pt>
                <c:pt idx="17">
                  <c:v>45958</c:v>
                </c:pt>
                <c:pt idx="18">
                  <c:v>45959</c:v>
                </c:pt>
                <c:pt idx="19">
                  <c:v>45960</c:v>
                </c:pt>
                <c:pt idx="20">
                  <c:v>45961</c:v>
                </c:pt>
                <c:pt idx="21">
                  <c:v>45964</c:v>
                </c:pt>
                <c:pt idx="22">
                  <c:v>45965</c:v>
                </c:pt>
                <c:pt idx="23">
                  <c:v>45966</c:v>
                </c:pt>
                <c:pt idx="24">
                  <c:v>45967</c:v>
                </c:pt>
                <c:pt idx="25">
                  <c:v>45968</c:v>
                </c:pt>
                <c:pt idx="26">
                  <c:v>45971</c:v>
                </c:pt>
                <c:pt idx="27">
                  <c:v>45972</c:v>
                </c:pt>
                <c:pt idx="28">
                  <c:v>45973</c:v>
                </c:pt>
                <c:pt idx="29">
                  <c:v>45974</c:v>
                </c:pt>
                <c:pt idx="30">
                  <c:v>45975</c:v>
                </c:pt>
                <c:pt idx="31">
                  <c:v>45978</c:v>
                </c:pt>
              </c:numCache>
            </c:numRef>
          </c:cat>
          <c:val>
            <c:numRef>
              <c:f>'Work with data'!$N$2:$N$33</c:f>
              <c:numCache>
                <c:formatCode>0.000%</c:formatCode>
                <c:ptCount val="32"/>
                <c:pt idx="0">
                  <c:v>6.1661960426488975E-4</c:v>
                </c:pt>
                <c:pt idx="1">
                  <c:v>1.824130643923727E-4</c:v>
                </c:pt>
                <c:pt idx="2">
                  <c:v>-7.5432976902900517E-4</c:v>
                </c:pt>
                <c:pt idx="3">
                  <c:v>7.1088743932579135E-5</c:v>
                </c:pt>
                <c:pt idx="4">
                  <c:v>2.6619735341792961E-5</c:v>
                </c:pt>
                <c:pt idx="5">
                  <c:v>-1.6697146826949449E-5</c:v>
                </c:pt>
                <c:pt idx="6">
                  <c:v>1.2010114942162531E-3</c:v>
                </c:pt>
                <c:pt idx="7">
                  <c:v>2.1233067835821906E-3</c:v>
                </c:pt>
                <c:pt idx="8">
                  <c:v>2.9287538591031836E-3</c:v>
                </c:pt>
                <c:pt idx="9">
                  <c:v>4.4411657362293244E-3</c:v>
                </c:pt>
                <c:pt idx="10">
                  <c:v>3.9295833153580872E-3</c:v>
                </c:pt>
                <c:pt idx="11">
                  <c:v>4.2330490308408741E-3</c:v>
                </c:pt>
                <c:pt idx="12">
                  <c:v>4.6552479066830355E-3</c:v>
                </c:pt>
                <c:pt idx="13">
                  <c:v>4.8630201407890983E-3</c:v>
                </c:pt>
                <c:pt idx="14">
                  <c:v>4.1664050728535962E-3</c:v>
                </c:pt>
                <c:pt idx="15">
                  <c:v>4.6369478213592608E-3</c:v>
                </c:pt>
                <c:pt idx="16">
                  <c:v>5.1630592164015887E-3</c:v>
                </c:pt>
                <c:pt idx="17">
                  <c:v>5.3536747925806427E-3</c:v>
                </c:pt>
                <c:pt idx="18">
                  <c:v>3.9008820837465041E-3</c:v>
                </c:pt>
                <c:pt idx="19">
                  <c:v>3.3222322368835489E-3</c:v>
                </c:pt>
                <c:pt idx="20">
                  <c:v>3.187591879171503E-3</c:v>
                </c:pt>
                <c:pt idx="21">
                  <c:v>2.6682590295112885E-3</c:v>
                </c:pt>
                <c:pt idx="22">
                  <c:v>2.7628773633250336E-3</c:v>
                </c:pt>
                <c:pt idx="23">
                  <c:v>2.9495517005748706E-3</c:v>
                </c:pt>
                <c:pt idx="24">
                  <c:v>3.0597176072790777E-3</c:v>
                </c:pt>
                <c:pt idx="25">
                  <c:v>3.0457410260948947E-3</c:v>
                </c:pt>
                <c:pt idx="26">
                  <c:v>2.8826818349505512E-3</c:v>
                </c:pt>
                <c:pt idx="27">
                  <c:v>3.0693784750008835E-3</c:v>
                </c:pt>
                <c:pt idx="28">
                  <c:v>3.6105484538486721E-3</c:v>
                </c:pt>
                <c:pt idx="29">
                  <c:v>2.4991094745827613E-3</c:v>
                </c:pt>
                <c:pt idx="30">
                  <c:v>2.4832735437394504E-3</c:v>
                </c:pt>
                <c:pt idx="31">
                  <c:v>2.7026617352603477E-3</c:v>
                </c:pt>
              </c:numCache>
            </c:numRef>
          </c:val>
          <c:smooth val="0"/>
          <c:extLst>
            <c:ext xmlns:c16="http://schemas.microsoft.com/office/drawing/2014/chart" uri="{C3380CC4-5D6E-409C-BE32-E72D297353CC}">
              <c16:uniqueId val="{00000000-2894-429B-A723-B84394211056}"/>
            </c:ext>
          </c:extLst>
        </c:ser>
        <c:ser>
          <c:idx val="1"/>
          <c:order val="1"/>
          <c:tx>
            <c:strRef>
              <c:f>'Work with data'!$O$1</c:f>
              <c:strCache>
                <c:ptCount val="1"/>
                <c:pt idx="0">
                  <c:v>Benchmark</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'Work with data'!$M$2:$M$33</c:f>
              <c:numCache>
                <c:formatCode>m/d/yyyy</c:formatCode>
                <c:ptCount val="32"/>
                <c:pt idx="0">
                  <c:v>45932</c:v>
                </c:pt>
                <c:pt idx="1">
                  <c:v>45933</c:v>
                </c:pt>
                <c:pt idx="2">
                  <c:v>45936</c:v>
                </c:pt>
                <c:pt idx="3">
                  <c:v>45937</c:v>
                </c:pt>
                <c:pt idx="4">
                  <c:v>45938</c:v>
                </c:pt>
                <c:pt idx="5">
                  <c:v>45939</c:v>
                </c:pt>
                <c:pt idx="6">
                  <c:v>45940</c:v>
                </c:pt>
                <c:pt idx="7">
                  <c:v>45944</c:v>
                </c:pt>
                <c:pt idx="8">
                  <c:v>45945</c:v>
                </c:pt>
                <c:pt idx="9">
                  <c:v>45946</c:v>
                </c:pt>
                <c:pt idx="10">
                  <c:v>45947</c:v>
                </c:pt>
                <c:pt idx="11">
                  <c:v>45950</c:v>
                </c:pt>
                <c:pt idx="12">
                  <c:v>45951</c:v>
                </c:pt>
                <c:pt idx="13">
                  <c:v>45952</c:v>
                </c:pt>
                <c:pt idx="14">
                  <c:v>45953</c:v>
                </c:pt>
                <c:pt idx="15">
                  <c:v>45954</c:v>
                </c:pt>
                <c:pt idx="16">
                  <c:v>45957</c:v>
                </c:pt>
                <c:pt idx="17">
                  <c:v>45958</c:v>
                </c:pt>
                <c:pt idx="18">
                  <c:v>45959</c:v>
                </c:pt>
                <c:pt idx="19">
                  <c:v>45960</c:v>
                </c:pt>
                <c:pt idx="20">
                  <c:v>45961</c:v>
                </c:pt>
                <c:pt idx="21">
                  <c:v>45964</c:v>
                </c:pt>
                <c:pt idx="22">
                  <c:v>45965</c:v>
                </c:pt>
                <c:pt idx="23">
                  <c:v>45966</c:v>
                </c:pt>
                <c:pt idx="24">
                  <c:v>45967</c:v>
                </c:pt>
                <c:pt idx="25">
                  <c:v>45968</c:v>
                </c:pt>
                <c:pt idx="26">
                  <c:v>45971</c:v>
                </c:pt>
                <c:pt idx="27">
                  <c:v>45972</c:v>
                </c:pt>
                <c:pt idx="28">
                  <c:v>45973</c:v>
                </c:pt>
                <c:pt idx="29">
                  <c:v>45974</c:v>
                </c:pt>
                <c:pt idx="30">
                  <c:v>45975</c:v>
                </c:pt>
                <c:pt idx="31">
                  <c:v>45978</c:v>
                </c:pt>
              </c:numCache>
            </c:numRef>
          </c:cat>
          <c:val>
            <c:numRef>
              <c:f>'Work with data'!$O$2:$O$33</c:f>
              <c:numCache>
                <c:formatCode>0.000%</c:formatCode>
                <c:ptCount val="32"/>
                <c:pt idx="0">
                  <c:v>7.8055603306231955E-4</c:v>
                </c:pt>
                <c:pt idx="1">
                  <c:v>9.1685260106477706E-4</c:v>
                </c:pt>
                <c:pt idx="2">
                  <c:v>4.3858608341507122E-4</c:v>
                </c:pt>
                <c:pt idx="3">
                  <c:v>8.3432853991460831E-4</c:v>
                </c:pt>
                <c:pt idx="4">
                  <c:v>9.17628950867444E-4</c:v>
                </c:pt>
                <c:pt idx="5">
                  <c:v>6.269739714273026E-4</c:v>
                </c:pt>
                <c:pt idx="6">
                  <c:v>1.0630049362769789E-3</c:v>
                </c:pt>
                <c:pt idx="7">
                  <c:v>1.6058251775419308E-3</c:v>
                </c:pt>
                <c:pt idx="8">
                  <c:v>2.790088441362748E-3</c:v>
                </c:pt>
                <c:pt idx="9">
                  <c:v>4.0249022285274716E-3</c:v>
                </c:pt>
                <c:pt idx="10">
                  <c:v>3.5052645996498377E-3</c:v>
                </c:pt>
                <c:pt idx="11">
                  <c:v>3.8649796949450366E-3</c:v>
                </c:pt>
                <c:pt idx="12">
                  <c:v>4.5748279948667481E-3</c:v>
                </c:pt>
                <c:pt idx="13">
                  <c:v>4.5211207025759315E-3</c:v>
                </c:pt>
                <c:pt idx="14">
                  <c:v>4.1540267359592153E-3</c:v>
                </c:pt>
                <c:pt idx="15">
                  <c:v>4.8469066505720804E-3</c:v>
                </c:pt>
                <c:pt idx="16">
                  <c:v>5.5047261641092415E-3</c:v>
                </c:pt>
                <c:pt idx="17">
                  <c:v>5.5239835482507882E-3</c:v>
                </c:pt>
                <c:pt idx="18">
                  <c:v>4.5997672527047229E-3</c:v>
                </c:pt>
                <c:pt idx="19">
                  <c:v>4.0460711538323757E-3</c:v>
                </c:pt>
                <c:pt idx="20">
                  <c:v>4.2271391336550224E-3</c:v>
                </c:pt>
                <c:pt idx="21">
                  <c:v>4.0851626783642292E-3</c:v>
                </c:pt>
                <c:pt idx="22">
                  <c:v>3.8966591326261568E-3</c:v>
                </c:pt>
                <c:pt idx="23">
                  <c:v>4.1101104428515889E-3</c:v>
                </c:pt>
                <c:pt idx="24">
                  <c:v>4.3756121765359257E-3</c:v>
                </c:pt>
                <c:pt idx="25">
                  <c:v>4.122739640174844E-3</c:v>
                </c:pt>
                <c:pt idx="26">
                  <c:v>3.6954901325489953E-3</c:v>
                </c:pt>
                <c:pt idx="27">
                  <c:v>3.890723243886729E-3</c:v>
                </c:pt>
                <c:pt idx="28">
                  <c:v>4.1665414107974197E-3</c:v>
                </c:pt>
                <c:pt idx="29">
                  <c:v>3.4681097000830441E-3</c:v>
                </c:pt>
                <c:pt idx="30">
                  <c:v>3.5845886543555139E-3</c:v>
                </c:pt>
                <c:pt idx="31">
                  <c:v>3.6800932166873856E-3</c:v>
                </c:pt>
              </c:numCache>
            </c:numRef>
          </c:val>
          <c:smooth val="0"/>
          <c:extLst>
            <c:ext xmlns:c16="http://schemas.microsoft.com/office/drawing/2014/chart" uri="{C3380CC4-5D6E-409C-BE32-E72D297353CC}">
              <c16:uniqueId val="{00000001-2894-429B-A723-B84394211056}"/>
            </c:ext>
          </c:extLst>
        </c:ser>
        <c:ser>
          <c:idx val="2"/>
          <c:order val="2"/>
          <c:tx>
            <c:strRef>
              <c:f>'Work with data'!$P$1</c:f>
              <c:strCache>
                <c:ptCount val="1"/>
                <c:pt idx="0">
                  <c:v>Überrendite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'Work with data'!$M$2:$M$33</c:f>
              <c:numCache>
                <c:formatCode>m/d/yyyy</c:formatCode>
                <c:ptCount val="32"/>
                <c:pt idx="0">
                  <c:v>45932</c:v>
                </c:pt>
                <c:pt idx="1">
                  <c:v>45933</c:v>
                </c:pt>
                <c:pt idx="2">
                  <c:v>45936</c:v>
                </c:pt>
                <c:pt idx="3">
                  <c:v>45937</c:v>
                </c:pt>
                <c:pt idx="4">
                  <c:v>45938</c:v>
                </c:pt>
                <c:pt idx="5">
                  <c:v>45939</c:v>
                </c:pt>
                <c:pt idx="6">
                  <c:v>45940</c:v>
                </c:pt>
                <c:pt idx="7">
                  <c:v>45944</c:v>
                </c:pt>
                <c:pt idx="8">
                  <c:v>45945</c:v>
                </c:pt>
                <c:pt idx="9">
                  <c:v>45946</c:v>
                </c:pt>
                <c:pt idx="10">
                  <c:v>45947</c:v>
                </c:pt>
                <c:pt idx="11">
                  <c:v>45950</c:v>
                </c:pt>
                <c:pt idx="12">
                  <c:v>45951</c:v>
                </c:pt>
                <c:pt idx="13">
                  <c:v>45952</c:v>
                </c:pt>
                <c:pt idx="14">
                  <c:v>45953</c:v>
                </c:pt>
                <c:pt idx="15">
                  <c:v>45954</c:v>
                </c:pt>
                <c:pt idx="16">
                  <c:v>45957</c:v>
                </c:pt>
                <c:pt idx="17">
                  <c:v>45958</c:v>
                </c:pt>
                <c:pt idx="18">
                  <c:v>45959</c:v>
                </c:pt>
                <c:pt idx="19">
                  <c:v>45960</c:v>
                </c:pt>
                <c:pt idx="20">
                  <c:v>45961</c:v>
                </c:pt>
                <c:pt idx="21">
                  <c:v>45964</c:v>
                </c:pt>
                <c:pt idx="22">
                  <c:v>45965</c:v>
                </c:pt>
                <c:pt idx="23">
                  <c:v>45966</c:v>
                </c:pt>
                <c:pt idx="24">
                  <c:v>45967</c:v>
                </c:pt>
                <c:pt idx="25">
                  <c:v>45968</c:v>
                </c:pt>
                <c:pt idx="26">
                  <c:v>45971</c:v>
                </c:pt>
                <c:pt idx="27">
                  <c:v>45972</c:v>
                </c:pt>
                <c:pt idx="28">
                  <c:v>45973</c:v>
                </c:pt>
                <c:pt idx="29">
                  <c:v>45974</c:v>
                </c:pt>
                <c:pt idx="30">
                  <c:v>45975</c:v>
                </c:pt>
                <c:pt idx="31">
                  <c:v>45978</c:v>
                </c:pt>
              </c:numCache>
            </c:numRef>
          </c:cat>
          <c:val>
            <c:numRef>
              <c:f>'Work with data'!$P$2:$P$33</c:f>
              <c:numCache>
                <c:formatCode>0.000%</c:formatCode>
                <c:ptCount val="32"/>
                <c:pt idx="0">
                  <c:v>-1.639364287974298E-4</c:v>
                </c:pt>
                <c:pt idx="1">
                  <c:v>-7.3443953667240436E-4</c:v>
                </c:pt>
                <c:pt idx="2">
                  <c:v>-1.1929158524440764E-3</c:v>
                </c:pt>
                <c:pt idx="3">
                  <c:v>-7.6323979598202918E-4</c:v>
                </c:pt>
                <c:pt idx="4">
                  <c:v>-8.9100921552565104E-4</c:v>
                </c:pt>
                <c:pt idx="5">
                  <c:v>-6.4367111825425205E-4</c:v>
                </c:pt>
                <c:pt idx="6">
                  <c:v>1.3800655793927419E-4</c:v>
                </c:pt>
                <c:pt idx="7">
                  <c:v>5.1748160604025983E-4</c:v>
                </c:pt>
                <c:pt idx="8">
                  <c:v>1.3866541774043561E-4</c:v>
                </c:pt>
                <c:pt idx="9">
                  <c:v>4.1626350770185283E-4</c:v>
                </c:pt>
                <c:pt idx="10">
                  <c:v>4.2431871570824953E-4</c:v>
                </c:pt>
                <c:pt idx="11">
                  <c:v>3.6806933589583757E-4</c:v>
                </c:pt>
                <c:pt idx="12">
                  <c:v>8.0419911816287382E-5</c:v>
                </c:pt>
                <c:pt idx="13">
                  <c:v>3.4189943821316682E-4</c:v>
                </c:pt>
                <c:pt idx="14">
                  <c:v>1.2378336894380837E-5</c:v>
                </c:pt>
                <c:pt idx="15">
                  <c:v>-2.0995882921281961E-4</c:v>
                </c:pt>
                <c:pt idx="16">
                  <c:v>-3.4166694770765282E-4</c:v>
                </c:pt>
                <c:pt idx="17">
                  <c:v>-1.7030875567014547E-4</c:v>
                </c:pt>
                <c:pt idx="18">
                  <c:v>-6.9888516895821873E-4</c:v>
                </c:pt>
                <c:pt idx="19">
                  <c:v>-7.2383891694882685E-4</c:v>
                </c:pt>
                <c:pt idx="20">
                  <c:v>-1.0395472544835194E-3</c:v>
                </c:pt>
                <c:pt idx="21">
                  <c:v>-1.4169036488529407E-3</c:v>
                </c:pt>
                <c:pt idx="22">
                  <c:v>-1.1337817693011232E-3</c:v>
                </c:pt>
                <c:pt idx="23">
                  <c:v>-1.1605587422767183E-3</c:v>
                </c:pt>
                <c:pt idx="24">
                  <c:v>-1.315894569256848E-3</c:v>
                </c:pt>
                <c:pt idx="25">
                  <c:v>-1.0769986140799492E-3</c:v>
                </c:pt>
                <c:pt idx="26">
                  <c:v>-8.1280829759844408E-4</c:v>
                </c:pt>
                <c:pt idx="27">
                  <c:v>-8.2134476888584551E-4</c:v>
                </c:pt>
                <c:pt idx="28">
                  <c:v>-5.5599295694874762E-4</c:v>
                </c:pt>
                <c:pt idx="29">
                  <c:v>-9.6900022550028275E-4</c:v>
                </c:pt>
                <c:pt idx="30">
                  <c:v>-1.1013151106160635E-3</c:v>
                </c:pt>
                <c:pt idx="31">
                  <c:v>-9.7743148142703795E-4</c:v>
                </c:pt>
              </c:numCache>
            </c:numRef>
          </c:val>
          <c:smooth val="0"/>
          <c:extLst>
            <c:ext xmlns:c16="http://schemas.microsoft.com/office/drawing/2014/chart" uri="{C3380CC4-5D6E-409C-BE32-E72D297353CC}">
              <c16:uniqueId val="{00000002-2894-429B-A723-B84394211056}"/>
            </c:ext>
          </c:extLst>
        </c:ser>
        <c:dLbls>
          <c:showLegendKey val="0"/>
          <c:showVal val="0"/>
          <c:showCatName val="0"/>
          <c:showSerName val="0"/>
          <c:showPercent val="0"/>
          <c:showBubbleSize val="0"/>
        </c:dLbls>
        <c:marker val="1"/>
        <c:smooth val="0"/>
        <c:axId val="896270240"/>
        <c:axId val="896267360"/>
      </c:lineChart>
      <c:dateAx>
        <c:axId val="896270240"/>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96267360"/>
        <c:crosses val="autoZero"/>
        <c:auto val="1"/>
        <c:lblOffset val="100"/>
        <c:baseTimeUnit val="days"/>
      </c:dateAx>
      <c:valAx>
        <c:axId val="896267360"/>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962702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CH"/>
              <a:t>Kumulierte</a:t>
            </a:r>
            <a:r>
              <a:rPr lang="de-CH" baseline="0"/>
              <a:t> Rendite</a:t>
            </a:r>
            <a:endParaRPr lang="de-C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CH"/>
        </a:p>
      </c:txPr>
    </c:title>
    <c:autoTitleDeleted val="0"/>
    <c:plotArea>
      <c:layout/>
      <c:lineChart>
        <c:grouping val="standard"/>
        <c:varyColors val="0"/>
        <c:ser>
          <c:idx val="0"/>
          <c:order val="0"/>
          <c:tx>
            <c:strRef>
              <c:f>'Work with data'!$N$1</c:f>
              <c:strCache>
                <c:ptCount val="1"/>
                <c:pt idx="0">
                  <c:v>Eigenes Portfolio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'Work with data'!$M$2:$M$33</c:f>
              <c:numCache>
                <c:formatCode>m/d/yyyy</c:formatCode>
                <c:ptCount val="32"/>
                <c:pt idx="0">
                  <c:v>45932</c:v>
                </c:pt>
                <c:pt idx="1">
                  <c:v>45933</c:v>
                </c:pt>
                <c:pt idx="2">
                  <c:v>45936</c:v>
                </c:pt>
                <c:pt idx="3">
                  <c:v>45937</c:v>
                </c:pt>
                <c:pt idx="4">
                  <c:v>45938</c:v>
                </c:pt>
                <c:pt idx="5">
                  <c:v>45939</c:v>
                </c:pt>
                <c:pt idx="6">
                  <c:v>45940</c:v>
                </c:pt>
                <c:pt idx="7">
                  <c:v>45944</c:v>
                </c:pt>
                <c:pt idx="8">
                  <c:v>45945</c:v>
                </c:pt>
                <c:pt idx="9">
                  <c:v>45946</c:v>
                </c:pt>
                <c:pt idx="10">
                  <c:v>45947</c:v>
                </c:pt>
                <c:pt idx="11">
                  <c:v>45950</c:v>
                </c:pt>
                <c:pt idx="12">
                  <c:v>45951</c:v>
                </c:pt>
                <c:pt idx="13">
                  <c:v>45952</c:v>
                </c:pt>
                <c:pt idx="14">
                  <c:v>45953</c:v>
                </c:pt>
                <c:pt idx="15">
                  <c:v>45954</c:v>
                </c:pt>
                <c:pt idx="16">
                  <c:v>45957</c:v>
                </c:pt>
                <c:pt idx="17">
                  <c:v>45958</c:v>
                </c:pt>
                <c:pt idx="18">
                  <c:v>45959</c:v>
                </c:pt>
                <c:pt idx="19">
                  <c:v>45960</c:v>
                </c:pt>
                <c:pt idx="20">
                  <c:v>45961</c:v>
                </c:pt>
                <c:pt idx="21">
                  <c:v>45964</c:v>
                </c:pt>
                <c:pt idx="22">
                  <c:v>45965</c:v>
                </c:pt>
                <c:pt idx="23">
                  <c:v>45966</c:v>
                </c:pt>
                <c:pt idx="24">
                  <c:v>45967</c:v>
                </c:pt>
                <c:pt idx="25">
                  <c:v>45968</c:v>
                </c:pt>
                <c:pt idx="26">
                  <c:v>45971</c:v>
                </c:pt>
                <c:pt idx="27">
                  <c:v>45972</c:v>
                </c:pt>
                <c:pt idx="28">
                  <c:v>45973</c:v>
                </c:pt>
                <c:pt idx="29">
                  <c:v>45974</c:v>
                </c:pt>
                <c:pt idx="30">
                  <c:v>45975</c:v>
                </c:pt>
                <c:pt idx="31">
                  <c:v>45978</c:v>
                </c:pt>
              </c:numCache>
            </c:numRef>
          </c:cat>
          <c:val>
            <c:numRef>
              <c:f>'Work with data'!$N$2:$N$33</c:f>
              <c:numCache>
                <c:formatCode>0.000%</c:formatCode>
                <c:ptCount val="32"/>
                <c:pt idx="0">
                  <c:v>6.1661960426488975E-4</c:v>
                </c:pt>
                <c:pt idx="1">
                  <c:v>1.824130643923727E-4</c:v>
                </c:pt>
                <c:pt idx="2">
                  <c:v>-7.5432976902900517E-4</c:v>
                </c:pt>
                <c:pt idx="3">
                  <c:v>7.1088743932579135E-5</c:v>
                </c:pt>
                <c:pt idx="4">
                  <c:v>2.6619735341792961E-5</c:v>
                </c:pt>
                <c:pt idx="5">
                  <c:v>-1.6697146826949449E-5</c:v>
                </c:pt>
                <c:pt idx="6">
                  <c:v>1.2010114942162531E-3</c:v>
                </c:pt>
                <c:pt idx="7">
                  <c:v>2.1233067835821906E-3</c:v>
                </c:pt>
                <c:pt idx="8">
                  <c:v>2.9287538591031836E-3</c:v>
                </c:pt>
                <c:pt idx="9">
                  <c:v>4.4411657362293244E-3</c:v>
                </c:pt>
                <c:pt idx="10">
                  <c:v>3.9295833153580872E-3</c:v>
                </c:pt>
                <c:pt idx="11">
                  <c:v>4.2330490308408741E-3</c:v>
                </c:pt>
                <c:pt idx="12">
                  <c:v>4.6552479066830355E-3</c:v>
                </c:pt>
                <c:pt idx="13">
                  <c:v>4.8630201407890983E-3</c:v>
                </c:pt>
                <c:pt idx="14">
                  <c:v>4.1664050728535962E-3</c:v>
                </c:pt>
                <c:pt idx="15">
                  <c:v>4.6369478213592608E-3</c:v>
                </c:pt>
                <c:pt idx="16">
                  <c:v>5.1630592164015887E-3</c:v>
                </c:pt>
                <c:pt idx="17">
                  <c:v>5.3536747925806427E-3</c:v>
                </c:pt>
                <c:pt idx="18">
                  <c:v>3.9008820837465041E-3</c:v>
                </c:pt>
                <c:pt idx="19">
                  <c:v>3.3222322368835489E-3</c:v>
                </c:pt>
                <c:pt idx="20">
                  <c:v>3.187591879171503E-3</c:v>
                </c:pt>
                <c:pt idx="21">
                  <c:v>2.6682590295112885E-3</c:v>
                </c:pt>
                <c:pt idx="22">
                  <c:v>2.7628773633250336E-3</c:v>
                </c:pt>
                <c:pt idx="23">
                  <c:v>2.9495517005748706E-3</c:v>
                </c:pt>
                <c:pt idx="24">
                  <c:v>3.0597176072790777E-3</c:v>
                </c:pt>
                <c:pt idx="25">
                  <c:v>3.0457410260948947E-3</c:v>
                </c:pt>
                <c:pt idx="26">
                  <c:v>2.8826818349505512E-3</c:v>
                </c:pt>
                <c:pt idx="27">
                  <c:v>3.0693784750008835E-3</c:v>
                </c:pt>
                <c:pt idx="28">
                  <c:v>3.6105484538486721E-3</c:v>
                </c:pt>
                <c:pt idx="29">
                  <c:v>2.4991094745827613E-3</c:v>
                </c:pt>
                <c:pt idx="30">
                  <c:v>2.4832735437394504E-3</c:v>
                </c:pt>
                <c:pt idx="31">
                  <c:v>2.7026617352603477E-3</c:v>
                </c:pt>
              </c:numCache>
            </c:numRef>
          </c:val>
          <c:smooth val="0"/>
          <c:extLst>
            <c:ext xmlns:c16="http://schemas.microsoft.com/office/drawing/2014/chart" uri="{C3380CC4-5D6E-409C-BE32-E72D297353CC}">
              <c16:uniqueId val="{00000000-CB97-47C9-BE29-259F1912F955}"/>
            </c:ext>
          </c:extLst>
        </c:ser>
        <c:ser>
          <c:idx val="1"/>
          <c:order val="1"/>
          <c:tx>
            <c:strRef>
              <c:f>'Work with data'!$O$1</c:f>
              <c:strCache>
                <c:ptCount val="1"/>
                <c:pt idx="0">
                  <c:v>Benchmark</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'Work with data'!$M$2:$M$33</c:f>
              <c:numCache>
                <c:formatCode>m/d/yyyy</c:formatCode>
                <c:ptCount val="32"/>
                <c:pt idx="0">
                  <c:v>45932</c:v>
                </c:pt>
                <c:pt idx="1">
                  <c:v>45933</c:v>
                </c:pt>
                <c:pt idx="2">
                  <c:v>45936</c:v>
                </c:pt>
                <c:pt idx="3">
                  <c:v>45937</c:v>
                </c:pt>
                <c:pt idx="4">
                  <c:v>45938</c:v>
                </c:pt>
                <c:pt idx="5">
                  <c:v>45939</c:v>
                </c:pt>
                <c:pt idx="6">
                  <c:v>45940</c:v>
                </c:pt>
                <c:pt idx="7">
                  <c:v>45944</c:v>
                </c:pt>
                <c:pt idx="8">
                  <c:v>45945</c:v>
                </c:pt>
                <c:pt idx="9">
                  <c:v>45946</c:v>
                </c:pt>
                <c:pt idx="10">
                  <c:v>45947</c:v>
                </c:pt>
                <c:pt idx="11">
                  <c:v>45950</c:v>
                </c:pt>
                <c:pt idx="12">
                  <c:v>45951</c:v>
                </c:pt>
                <c:pt idx="13">
                  <c:v>45952</c:v>
                </c:pt>
                <c:pt idx="14">
                  <c:v>45953</c:v>
                </c:pt>
                <c:pt idx="15">
                  <c:v>45954</c:v>
                </c:pt>
                <c:pt idx="16">
                  <c:v>45957</c:v>
                </c:pt>
                <c:pt idx="17">
                  <c:v>45958</c:v>
                </c:pt>
                <c:pt idx="18">
                  <c:v>45959</c:v>
                </c:pt>
                <c:pt idx="19">
                  <c:v>45960</c:v>
                </c:pt>
                <c:pt idx="20">
                  <c:v>45961</c:v>
                </c:pt>
                <c:pt idx="21">
                  <c:v>45964</c:v>
                </c:pt>
                <c:pt idx="22">
                  <c:v>45965</c:v>
                </c:pt>
                <c:pt idx="23">
                  <c:v>45966</c:v>
                </c:pt>
                <c:pt idx="24">
                  <c:v>45967</c:v>
                </c:pt>
                <c:pt idx="25">
                  <c:v>45968</c:v>
                </c:pt>
                <c:pt idx="26">
                  <c:v>45971</c:v>
                </c:pt>
                <c:pt idx="27">
                  <c:v>45972</c:v>
                </c:pt>
                <c:pt idx="28">
                  <c:v>45973</c:v>
                </c:pt>
                <c:pt idx="29">
                  <c:v>45974</c:v>
                </c:pt>
                <c:pt idx="30">
                  <c:v>45975</c:v>
                </c:pt>
                <c:pt idx="31">
                  <c:v>45978</c:v>
                </c:pt>
              </c:numCache>
            </c:numRef>
          </c:cat>
          <c:val>
            <c:numRef>
              <c:f>'Work with data'!$O$2:$O$33</c:f>
              <c:numCache>
                <c:formatCode>0.000%</c:formatCode>
                <c:ptCount val="32"/>
                <c:pt idx="0">
                  <c:v>7.8055603306231955E-4</c:v>
                </c:pt>
                <c:pt idx="1">
                  <c:v>9.1685260106477706E-4</c:v>
                </c:pt>
                <c:pt idx="2">
                  <c:v>4.3858608341507122E-4</c:v>
                </c:pt>
                <c:pt idx="3">
                  <c:v>8.3432853991460831E-4</c:v>
                </c:pt>
                <c:pt idx="4">
                  <c:v>9.17628950867444E-4</c:v>
                </c:pt>
                <c:pt idx="5">
                  <c:v>6.269739714273026E-4</c:v>
                </c:pt>
                <c:pt idx="6">
                  <c:v>1.0630049362769789E-3</c:v>
                </c:pt>
                <c:pt idx="7">
                  <c:v>1.6058251775419308E-3</c:v>
                </c:pt>
                <c:pt idx="8">
                  <c:v>2.790088441362748E-3</c:v>
                </c:pt>
                <c:pt idx="9">
                  <c:v>4.0249022285274716E-3</c:v>
                </c:pt>
                <c:pt idx="10">
                  <c:v>3.5052645996498377E-3</c:v>
                </c:pt>
                <c:pt idx="11">
                  <c:v>3.8649796949450366E-3</c:v>
                </c:pt>
                <c:pt idx="12">
                  <c:v>4.5748279948667481E-3</c:v>
                </c:pt>
                <c:pt idx="13">
                  <c:v>4.5211207025759315E-3</c:v>
                </c:pt>
                <c:pt idx="14">
                  <c:v>4.1540267359592153E-3</c:v>
                </c:pt>
                <c:pt idx="15">
                  <c:v>4.8469066505720804E-3</c:v>
                </c:pt>
                <c:pt idx="16">
                  <c:v>5.5047261641092415E-3</c:v>
                </c:pt>
                <c:pt idx="17">
                  <c:v>5.5239835482507882E-3</c:v>
                </c:pt>
                <c:pt idx="18">
                  <c:v>4.5997672527047229E-3</c:v>
                </c:pt>
                <c:pt idx="19">
                  <c:v>4.0460711538323757E-3</c:v>
                </c:pt>
                <c:pt idx="20">
                  <c:v>4.2271391336550224E-3</c:v>
                </c:pt>
                <c:pt idx="21">
                  <c:v>4.0851626783642292E-3</c:v>
                </c:pt>
                <c:pt idx="22">
                  <c:v>3.8966591326261568E-3</c:v>
                </c:pt>
                <c:pt idx="23">
                  <c:v>4.1101104428515889E-3</c:v>
                </c:pt>
                <c:pt idx="24">
                  <c:v>4.3756121765359257E-3</c:v>
                </c:pt>
                <c:pt idx="25">
                  <c:v>4.122739640174844E-3</c:v>
                </c:pt>
                <c:pt idx="26">
                  <c:v>3.6954901325489953E-3</c:v>
                </c:pt>
                <c:pt idx="27">
                  <c:v>3.890723243886729E-3</c:v>
                </c:pt>
                <c:pt idx="28">
                  <c:v>4.1665414107974197E-3</c:v>
                </c:pt>
                <c:pt idx="29">
                  <c:v>3.4681097000830441E-3</c:v>
                </c:pt>
                <c:pt idx="30">
                  <c:v>3.5845886543555139E-3</c:v>
                </c:pt>
                <c:pt idx="31">
                  <c:v>3.6800932166873856E-3</c:v>
                </c:pt>
              </c:numCache>
            </c:numRef>
          </c:val>
          <c:smooth val="0"/>
          <c:extLst>
            <c:ext xmlns:c16="http://schemas.microsoft.com/office/drawing/2014/chart" uri="{C3380CC4-5D6E-409C-BE32-E72D297353CC}">
              <c16:uniqueId val="{00000001-CB97-47C9-BE29-259F1912F955}"/>
            </c:ext>
          </c:extLst>
        </c:ser>
        <c:ser>
          <c:idx val="2"/>
          <c:order val="2"/>
          <c:tx>
            <c:strRef>
              <c:f>'Work with data'!$P$1</c:f>
              <c:strCache>
                <c:ptCount val="1"/>
                <c:pt idx="0">
                  <c:v>Überrendite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'Work with data'!$M$2:$M$33</c:f>
              <c:numCache>
                <c:formatCode>m/d/yyyy</c:formatCode>
                <c:ptCount val="32"/>
                <c:pt idx="0">
                  <c:v>45932</c:v>
                </c:pt>
                <c:pt idx="1">
                  <c:v>45933</c:v>
                </c:pt>
                <c:pt idx="2">
                  <c:v>45936</c:v>
                </c:pt>
                <c:pt idx="3">
                  <c:v>45937</c:v>
                </c:pt>
                <c:pt idx="4">
                  <c:v>45938</c:v>
                </c:pt>
                <c:pt idx="5">
                  <c:v>45939</c:v>
                </c:pt>
                <c:pt idx="6">
                  <c:v>45940</c:v>
                </c:pt>
                <c:pt idx="7">
                  <c:v>45944</c:v>
                </c:pt>
                <c:pt idx="8">
                  <c:v>45945</c:v>
                </c:pt>
                <c:pt idx="9">
                  <c:v>45946</c:v>
                </c:pt>
                <c:pt idx="10">
                  <c:v>45947</c:v>
                </c:pt>
                <c:pt idx="11">
                  <c:v>45950</c:v>
                </c:pt>
                <c:pt idx="12">
                  <c:v>45951</c:v>
                </c:pt>
                <c:pt idx="13">
                  <c:v>45952</c:v>
                </c:pt>
                <c:pt idx="14">
                  <c:v>45953</c:v>
                </c:pt>
                <c:pt idx="15">
                  <c:v>45954</c:v>
                </c:pt>
                <c:pt idx="16">
                  <c:v>45957</c:v>
                </c:pt>
                <c:pt idx="17">
                  <c:v>45958</c:v>
                </c:pt>
                <c:pt idx="18">
                  <c:v>45959</c:v>
                </c:pt>
                <c:pt idx="19">
                  <c:v>45960</c:v>
                </c:pt>
                <c:pt idx="20">
                  <c:v>45961</c:v>
                </c:pt>
                <c:pt idx="21">
                  <c:v>45964</c:v>
                </c:pt>
                <c:pt idx="22">
                  <c:v>45965</c:v>
                </c:pt>
                <c:pt idx="23">
                  <c:v>45966</c:v>
                </c:pt>
                <c:pt idx="24">
                  <c:v>45967</c:v>
                </c:pt>
                <c:pt idx="25">
                  <c:v>45968</c:v>
                </c:pt>
                <c:pt idx="26">
                  <c:v>45971</c:v>
                </c:pt>
                <c:pt idx="27">
                  <c:v>45972</c:v>
                </c:pt>
                <c:pt idx="28">
                  <c:v>45973</c:v>
                </c:pt>
                <c:pt idx="29">
                  <c:v>45974</c:v>
                </c:pt>
                <c:pt idx="30">
                  <c:v>45975</c:v>
                </c:pt>
                <c:pt idx="31">
                  <c:v>45978</c:v>
                </c:pt>
              </c:numCache>
            </c:numRef>
          </c:cat>
          <c:val>
            <c:numRef>
              <c:f>'Work with data'!$P$2:$P$33</c:f>
              <c:numCache>
                <c:formatCode>0.000%</c:formatCode>
                <c:ptCount val="32"/>
                <c:pt idx="0">
                  <c:v>-1.639364287974298E-4</c:v>
                </c:pt>
                <c:pt idx="1">
                  <c:v>-7.3443953667240436E-4</c:v>
                </c:pt>
                <c:pt idx="2">
                  <c:v>-1.1929158524440764E-3</c:v>
                </c:pt>
                <c:pt idx="3">
                  <c:v>-7.6323979598202918E-4</c:v>
                </c:pt>
                <c:pt idx="4">
                  <c:v>-8.9100921552565104E-4</c:v>
                </c:pt>
                <c:pt idx="5">
                  <c:v>-6.4367111825425205E-4</c:v>
                </c:pt>
                <c:pt idx="6">
                  <c:v>1.3800655793927419E-4</c:v>
                </c:pt>
                <c:pt idx="7">
                  <c:v>5.1748160604025983E-4</c:v>
                </c:pt>
                <c:pt idx="8">
                  <c:v>1.3866541774043561E-4</c:v>
                </c:pt>
                <c:pt idx="9">
                  <c:v>4.1626350770185283E-4</c:v>
                </c:pt>
                <c:pt idx="10">
                  <c:v>4.2431871570824953E-4</c:v>
                </c:pt>
                <c:pt idx="11">
                  <c:v>3.6806933589583757E-4</c:v>
                </c:pt>
                <c:pt idx="12">
                  <c:v>8.0419911816287382E-5</c:v>
                </c:pt>
                <c:pt idx="13">
                  <c:v>3.4189943821316682E-4</c:v>
                </c:pt>
                <c:pt idx="14">
                  <c:v>1.2378336894380837E-5</c:v>
                </c:pt>
                <c:pt idx="15">
                  <c:v>-2.0995882921281961E-4</c:v>
                </c:pt>
                <c:pt idx="16">
                  <c:v>-3.4166694770765282E-4</c:v>
                </c:pt>
                <c:pt idx="17">
                  <c:v>-1.7030875567014547E-4</c:v>
                </c:pt>
                <c:pt idx="18">
                  <c:v>-6.9888516895821873E-4</c:v>
                </c:pt>
                <c:pt idx="19">
                  <c:v>-7.2383891694882685E-4</c:v>
                </c:pt>
                <c:pt idx="20">
                  <c:v>-1.0395472544835194E-3</c:v>
                </c:pt>
                <c:pt idx="21">
                  <c:v>-1.4169036488529407E-3</c:v>
                </c:pt>
                <c:pt idx="22">
                  <c:v>-1.1337817693011232E-3</c:v>
                </c:pt>
                <c:pt idx="23">
                  <c:v>-1.1605587422767183E-3</c:v>
                </c:pt>
                <c:pt idx="24">
                  <c:v>-1.315894569256848E-3</c:v>
                </c:pt>
                <c:pt idx="25">
                  <c:v>-1.0769986140799492E-3</c:v>
                </c:pt>
                <c:pt idx="26">
                  <c:v>-8.1280829759844408E-4</c:v>
                </c:pt>
                <c:pt idx="27">
                  <c:v>-8.2134476888584551E-4</c:v>
                </c:pt>
                <c:pt idx="28">
                  <c:v>-5.5599295694874762E-4</c:v>
                </c:pt>
                <c:pt idx="29">
                  <c:v>-9.6900022550028275E-4</c:v>
                </c:pt>
                <c:pt idx="30">
                  <c:v>-1.1013151106160635E-3</c:v>
                </c:pt>
                <c:pt idx="31">
                  <c:v>-9.7743148142703795E-4</c:v>
                </c:pt>
              </c:numCache>
            </c:numRef>
          </c:val>
          <c:smooth val="0"/>
          <c:extLst>
            <c:ext xmlns:c16="http://schemas.microsoft.com/office/drawing/2014/chart" uri="{C3380CC4-5D6E-409C-BE32-E72D297353CC}">
              <c16:uniqueId val="{00000002-CB97-47C9-BE29-259F1912F955}"/>
            </c:ext>
          </c:extLst>
        </c:ser>
        <c:dLbls>
          <c:showLegendKey val="0"/>
          <c:showVal val="0"/>
          <c:showCatName val="0"/>
          <c:showSerName val="0"/>
          <c:showPercent val="0"/>
          <c:showBubbleSize val="0"/>
        </c:dLbls>
        <c:marker val="1"/>
        <c:smooth val="0"/>
        <c:axId val="896270240"/>
        <c:axId val="896267360"/>
      </c:lineChart>
      <c:dateAx>
        <c:axId val="896270240"/>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96267360"/>
        <c:crosses val="autoZero"/>
        <c:auto val="1"/>
        <c:lblOffset val="100"/>
        <c:baseTimeUnit val="days"/>
      </c:dateAx>
      <c:valAx>
        <c:axId val="896267360"/>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8962702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179465</xdr:rowOff>
    </xdr:from>
    <xdr:to>
      <xdr:col>4</xdr:col>
      <xdr:colOff>1411941</xdr:colOff>
      <xdr:row>4</xdr:row>
      <xdr:rowOff>28061</xdr:rowOff>
    </xdr:to>
    <xdr:pic>
      <xdr:nvPicPr>
        <xdr:cNvPr id="2" name="Picture 1" descr="uzh_logo_d_pos_grau_1mm">
          <a:extLst>
            <a:ext uri="{FF2B5EF4-FFF2-40B4-BE49-F238E27FC236}">
              <a16:creationId xmlns:a16="http://schemas.microsoft.com/office/drawing/2014/main" id="{BBF3DAF3-C4D9-4C07-8A32-27DBFABC9A7C}"/>
            </a:ext>
          </a:extLst>
        </xdr:cNvPr>
        <xdr:cNvPicPr/>
      </xdr:nvPicPr>
      <xdr:blipFill>
        <a:blip xmlns:r="http://schemas.openxmlformats.org/officeDocument/2006/relationships" r:embed="rId1"/>
        <a:srcRect/>
        <a:stretch>
          <a:fillRect/>
        </a:stretch>
      </xdr:blipFill>
      <xdr:spPr bwMode="auto">
        <a:xfrm>
          <a:off x="190500" y="179465"/>
          <a:ext cx="1591235" cy="605834"/>
        </a:xfrm>
        <a:prstGeom prst="rect">
          <a:avLst/>
        </a:prstGeom>
        <a:noFill/>
        <a:ln w="9525">
          <a:noFill/>
          <a:miter lim="800000"/>
          <a:headEnd/>
          <a:tailEnd/>
        </a:ln>
      </xdr:spPr>
    </xdr:pic>
    <xdr:clientData/>
  </xdr:twoCellAnchor>
  <xdr:twoCellAnchor>
    <xdr:from>
      <xdr:col>6</xdr:col>
      <xdr:colOff>278259</xdr:colOff>
      <xdr:row>138</xdr:row>
      <xdr:rowOff>80267</xdr:rowOff>
    </xdr:from>
    <xdr:to>
      <xdr:col>12</xdr:col>
      <xdr:colOff>157323</xdr:colOff>
      <xdr:row>152</xdr:row>
      <xdr:rowOff>51585</xdr:rowOff>
    </xdr:to>
    <xdr:graphicFrame macro="">
      <xdr:nvGraphicFramePr>
        <xdr:cNvPr id="5" name="Diagramm 4">
          <a:extLst>
            <a:ext uri="{FF2B5EF4-FFF2-40B4-BE49-F238E27FC236}">
              <a16:creationId xmlns:a16="http://schemas.microsoft.com/office/drawing/2014/main" id="{C5DE6FDF-8713-46F7-AE91-C1E9A0A45B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179294</xdr:rowOff>
    </xdr:from>
    <xdr:to>
      <xdr:col>5</xdr:col>
      <xdr:colOff>470647</xdr:colOff>
      <xdr:row>4</xdr:row>
      <xdr:rowOff>23128</xdr:rowOff>
    </xdr:to>
    <xdr:pic>
      <xdr:nvPicPr>
        <xdr:cNvPr id="3" name="Picture 1" descr="uzh_logo_d_pos_grau_1mm">
          <a:extLst>
            <a:ext uri="{FF2B5EF4-FFF2-40B4-BE49-F238E27FC236}">
              <a16:creationId xmlns:a16="http://schemas.microsoft.com/office/drawing/2014/main" id="{E893C518-1899-4FF9-BE84-2531DA609A58}"/>
            </a:ext>
          </a:extLst>
        </xdr:cNvPr>
        <xdr:cNvPicPr/>
      </xdr:nvPicPr>
      <xdr:blipFill>
        <a:blip xmlns:r="http://schemas.openxmlformats.org/officeDocument/2006/relationships" r:embed="rId1"/>
        <a:srcRect/>
        <a:stretch>
          <a:fillRect/>
        </a:stretch>
      </xdr:blipFill>
      <xdr:spPr bwMode="auto">
        <a:xfrm>
          <a:off x="190500" y="179294"/>
          <a:ext cx="1591235" cy="6058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16</xdr:col>
      <xdr:colOff>172388</xdr:colOff>
      <xdr:row>10</xdr:row>
      <xdr:rowOff>30318</xdr:rowOff>
    </xdr:from>
    <xdr:to>
      <xdr:col>22</xdr:col>
      <xdr:colOff>156289</xdr:colOff>
      <xdr:row>25</xdr:row>
      <xdr:rowOff>56880</xdr:rowOff>
    </xdr:to>
    <xdr:graphicFrame macro="">
      <xdr:nvGraphicFramePr>
        <xdr:cNvPr id="4" name="Diagramm 3">
          <a:extLst>
            <a:ext uri="{FF2B5EF4-FFF2-40B4-BE49-F238E27FC236}">
              <a16:creationId xmlns:a16="http://schemas.microsoft.com/office/drawing/2014/main" id="{A4F9B69E-2967-197C-62E4-EF850DEF1D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B1C24-D4A0-4BBA-AA8C-15AE7DE3480C}">
  <dimension ref="A4:Z236"/>
  <sheetViews>
    <sheetView showGridLines="0" tabSelected="1" topLeftCell="A64" zoomScale="85" zoomScaleNormal="85" workbookViewId="0">
      <selection activeCell="L97" sqref="L97:N97"/>
    </sheetView>
  </sheetViews>
  <sheetFormatPr baseColWidth="10" defaultColWidth="8.86328125" defaultRowHeight="14.25" x14ac:dyDescent="0.45"/>
  <cols>
    <col min="1" max="1" width="2.86328125" customWidth="1"/>
    <col min="2" max="2" width="2.73046875" hidden="1" customWidth="1"/>
    <col min="3" max="3" width="0.3984375" customWidth="1"/>
    <col min="4" max="4" width="2.1328125" customWidth="1"/>
    <col min="5" max="5" width="26.73046875" customWidth="1"/>
    <col min="6" max="6" width="36.1328125" customWidth="1"/>
    <col min="7" max="7" width="11.265625" customWidth="1"/>
    <col min="8" max="8" width="8.73046875" customWidth="1"/>
    <col min="9" max="11" width="11.265625" customWidth="1"/>
    <col min="12" max="13" width="12" customWidth="1"/>
    <col min="14" max="14" width="12.59765625" customWidth="1"/>
    <col min="15" max="15" width="13.265625" customWidth="1"/>
    <col min="16" max="16" width="11.86328125" customWidth="1"/>
    <col min="17" max="17" width="16.86328125" customWidth="1"/>
    <col min="18" max="18" width="16.3984375" customWidth="1"/>
    <col min="19" max="19" width="13.59765625" customWidth="1"/>
    <col min="20" max="20" width="12.73046875" customWidth="1"/>
    <col min="21" max="23" width="12" customWidth="1"/>
    <col min="24" max="24" width="2" customWidth="1"/>
    <col min="25" max="25" width="0.265625" customWidth="1"/>
  </cols>
  <sheetData>
    <row r="4" spans="3:25" x14ac:dyDescent="0.45">
      <c r="X4" s="5" t="s">
        <v>0</v>
      </c>
    </row>
    <row r="5" spans="3:25" x14ac:dyDescent="0.45">
      <c r="X5" s="6" t="s">
        <v>1</v>
      </c>
    </row>
    <row r="6" spans="3:25" ht="2.25" customHeight="1" x14ac:dyDescent="0.45">
      <c r="C6" s="1"/>
      <c r="D6" s="1"/>
      <c r="E6" s="1"/>
      <c r="F6" s="1"/>
      <c r="G6" s="1"/>
      <c r="H6" s="1"/>
      <c r="I6" s="1"/>
      <c r="J6" s="1"/>
      <c r="K6" s="1"/>
      <c r="L6" s="1"/>
      <c r="M6" s="1"/>
      <c r="N6" s="1"/>
      <c r="O6" s="1"/>
      <c r="P6" s="1"/>
      <c r="Q6" s="1"/>
      <c r="R6" s="1"/>
      <c r="S6" s="1"/>
      <c r="T6" s="1"/>
      <c r="U6" s="1"/>
      <c r="V6" s="1"/>
      <c r="W6" s="1"/>
      <c r="X6" s="1"/>
      <c r="Y6" s="1"/>
    </row>
    <row r="7" spans="3:25" ht="2.25" customHeight="1" x14ac:dyDescent="0.45"/>
    <row r="8" spans="3:25" ht="21" x14ac:dyDescent="0.65">
      <c r="C8" s="1"/>
      <c r="D8" s="1"/>
      <c r="E8" s="7" t="s">
        <v>2</v>
      </c>
      <c r="F8" s="7"/>
      <c r="G8" s="7"/>
      <c r="H8" s="1"/>
      <c r="I8" s="1"/>
      <c r="J8" s="1"/>
      <c r="K8" s="1"/>
      <c r="L8" s="1"/>
      <c r="M8" s="1"/>
      <c r="N8" s="1"/>
      <c r="O8" s="1"/>
      <c r="P8" s="1"/>
      <c r="Q8" s="1"/>
      <c r="R8" s="1"/>
      <c r="S8" s="1"/>
      <c r="T8" s="1"/>
      <c r="U8" s="1"/>
      <c r="V8" s="1"/>
      <c r="W8" s="1"/>
      <c r="X8" s="1"/>
      <c r="Y8" s="1"/>
    </row>
    <row r="9" spans="3:25" ht="2.25" customHeight="1" x14ac:dyDescent="0.45"/>
    <row r="10" spans="3:25" ht="2.25" customHeight="1" x14ac:dyDescent="0.45">
      <c r="C10" s="1"/>
      <c r="D10" s="1"/>
      <c r="E10" s="1"/>
      <c r="F10" s="1"/>
      <c r="G10" s="1"/>
      <c r="H10" s="1"/>
      <c r="I10" s="1"/>
      <c r="J10" s="1"/>
      <c r="K10" s="1"/>
      <c r="L10" s="1"/>
      <c r="M10" s="1"/>
      <c r="N10" s="1"/>
      <c r="O10" s="1"/>
      <c r="P10" s="1"/>
      <c r="Q10" s="1"/>
      <c r="R10" s="1"/>
      <c r="S10" s="1"/>
      <c r="T10" s="1"/>
      <c r="U10" s="1"/>
      <c r="V10" s="1"/>
      <c r="W10" s="1"/>
      <c r="X10" s="1"/>
      <c r="Y10" s="1"/>
    </row>
    <row r="11" spans="3:25" ht="11.25" customHeight="1" x14ac:dyDescent="0.45">
      <c r="C11" s="1"/>
      <c r="Y11" s="1"/>
    </row>
    <row r="12" spans="3:25" ht="15" customHeight="1" x14ac:dyDescent="0.45">
      <c r="C12" s="1"/>
      <c r="E12" s="139" t="s">
        <v>3</v>
      </c>
      <c r="F12" s="139"/>
      <c r="G12" s="139"/>
      <c r="H12" s="139"/>
      <c r="I12" s="139"/>
      <c r="J12" s="139"/>
      <c r="K12" s="139"/>
      <c r="L12" s="139"/>
      <c r="M12" s="139"/>
      <c r="N12" s="139"/>
      <c r="O12" s="139"/>
      <c r="P12" s="139"/>
      <c r="Q12" s="139"/>
      <c r="R12" s="139"/>
      <c r="S12" s="139"/>
      <c r="T12" s="139"/>
      <c r="U12" s="139"/>
      <c r="V12" s="139"/>
      <c r="W12" s="139"/>
      <c r="Y12" s="1"/>
    </row>
    <row r="13" spans="3:25" x14ac:dyDescent="0.45">
      <c r="C13" s="1"/>
      <c r="E13" s="139"/>
      <c r="F13" s="139"/>
      <c r="G13" s="139"/>
      <c r="H13" s="139"/>
      <c r="I13" s="139"/>
      <c r="J13" s="139"/>
      <c r="K13" s="139"/>
      <c r="L13" s="139"/>
      <c r="M13" s="139"/>
      <c r="N13" s="139"/>
      <c r="O13" s="139"/>
      <c r="P13" s="139"/>
      <c r="Q13" s="139"/>
      <c r="R13" s="139"/>
      <c r="S13" s="139"/>
      <c r="T13" s="139"/>
      <c r="U13" s="139"/>
      <c r="V13" s="139"/>
      <c r="W13" s="139"/>
      <c r="Y13" s="1"/>
    </row>
    <row r="14" spans="3:25" x14ac:dyDescent="0.45">
      <c r="C14" s="1"/>
      <c r="E14" s="139"/>
      <c r="F14" s="139"/>
      <c r="G14" s="139"/>
      <c r="H14" s="139"/>
      <c r="I14" s="139"/>
      <c r="J14" s="139"/>
      <c r="K14" s="139"/>
      <c r="L14" s="139"/>
      <c r="M14" s="139"/>
      <c r="N14" s="139"/>
      <c r="O14" s="139"/>
      <c r="P14" s="139"/>
      <c r="Q14" s="139"/>
      <c r="R14" s="139"/>
      <c r="S14" s="139"/>
      <c r="T14" s="139"/>
      <c r="U14" s="139"/>
      <c r="V14" s="139"/>
      <c r="W14" s="139"/>
      <c r="Y14" s="1"/>
    </row>
    <row r="15" spans="3:25" x14ac:dyDescent="0.45">
      <c r="C15" s="1"/>
      <c r="E15" s="139"/>
      <c r="F15" s="139"/>
      <c r="G15" s="139"/>
      <c r="H15" s="139"/>
      <c r="I15" s="139"/>
      <c r="J15" s="139"/>
      <c r="K15" s="139"/>
      <c r="L15" s="139"/>
      <c r="M15" s="139"/>
      <c r="N15" s="139"/>
      <c r="O15" s="139"/>
      <c r="P15" s="139"/>
      <c r="Q15" s="139"/>
      <c r="R15" s="139"/>
      <c r="S15" s="139"/>
      <c r="T15" s="139"/>
      <c r="U15" s="139"/>
      <c r="V15" s="139"/>
      <c r="W15" s="139"/>
      <c r="Y15" s="1"/>
    </row>
    <row r="16" spans="3:25" ht="15" customHeight="1" x14ac:dyDescent="0.45">
      <c r="C16" s="1"/>
      <c r="E16" s="139"/>
      <c r="F16" s="139"/>
      <c r="G16" s="139"/>
      <c r="H16" s="139"/>
      <c r="I16" s="139"/>
      <c r="J16" s="139"/>
      <c r="K16" s="139"/>
      <c r="L16" s="139"/>
      <c r="M16" s="139"/>
      <c r="N16" s="139"/>
      <c r="O16" s="139"/>
      <c r="P16" s="139"/>
      <c r="Q16" s="139"/>
      <c r="R16" s="139"/>
      <c r="S16" s="139"/>
      <c r="T16" s="139"/>
      <c r="U16" s="139"/>
      <c r="V16" s="139"/>
      <c r="W16" s="139"/>
      <c r="Y16" s="1"/>
    </row>
    <row r="17" spans="3:25" ht="15.75" x14ac:dyDescent="0.5">
      <c r="C17" s="1"/>
      <c r="E17" s="42" t="s">
        <v>4</v>
      </c>
      <c r="F17" s="147" t="s">
        <v>311</v>
      </c>
      <c r="G17" s="148"/>
      <c r="H17" s="148"/>
      <c r="I17" s="149"/>
      <c r="J17" s="45"/>
      <c r="K17" s="45"/>
      <c r="L17" s="45"/>
      <c r="M17" s="44"/>
      <c r="N17" s="45"/>
      <c r="O17" s="45"/>
      <c r="P17" s="45"/>
      <c r="Q17" s="45"/>
      <c r="R17" s="45"/>
      <c r="S17" s="45"/>
      <c r="T17" s="45"/>
      <c r="U17" s="45"/>
      <c r="V17" s="45"/>
      <c r="W17" s="45"/>
      <c r="Y17" s="1"/>
    </row>
    <row r="18" spans="3:25" ht="15.75" x14ac:dyDescent="0.5">
      <c r="C18" s="1"/>
      <c r="E18" s="44"/>
      <c r="F18" s="44"/>
      <c r="G18" s="44"/>
      <c r="H18" s="44"/>
      <c r="I18" s="44"/>
      <c r="J18" s="44"/>
      <c r="K18" s="44"/>
      <c r="L18" s="44"/>
      <c r="M18" s="44"/>
      <c r="N18" s="45"/>
      <c r="O18" s="45"/>
      <c r="P18" s="45"/>
      <c r="Q18" s="45"/>
      <c r="R18" s="45"/>
      <c r="S18" s="45"/>
      <c r="T18" s="45"/>
      <c r="U18" s="45"/>
      <c r="V18" s="45"/>
      <c r="W18" s="45"/>
      <c r="Y18" s="1"/>
    </row>
    <row r="19" spans="3:25" ht="15.75" x14ac:dyDescent="0.5">
      <c r="C19" s="1"/>
      <c r="E19" s="44"/>
      <c r="F19" s="44"/>
      <c r="G19" s="44"/>
      <c r="H19" s="44"/>
      <c r="I19" s="44"/>
      <c r="J19" s="44"/>
      <c r="K19" s="44"/>
      <c r="L19" s="44"/>
      <c r="M19" s="44"/>
      <c r="N19" s="45"/>
      <c r="O19" s="45"/>
      <c r="P19" s="45"/>
      <c r="Q19" s="45"/>
      <c r="R19" s="45"/>
      <c r="S19" s="45"/>
      <c r="T19" s="45"/>
      <c r="U19" s="45"/>
      <c r="V19" s="45"/>
      <c r="W19" s="45"/>
      <c r="Y19" s="1"/>
    </row>
    <row r="20" spans="3:25" ht="15.75" x14ac:dyDescent="0.5">
      <c r="C20" s="1"/>
      <c r="E20" s="43" t="s">
        <v>5</v>
      </c>
      <c r="F20" s="44"/>
      <c r="G20" s="44"/>
      <c r="H20" s="44"/>
      <c r="I20" s="44"/>
      <c r="J20" s="44"/>
      <c r="K20" s="44"/>
      <c r="L20" s="44"/>
      <c r="M20" s="44"/>
      <c r="N20" s="44"/>
      <c r="O20" s="44"/>
      <c r="P20" s="44"/>
      <c r="Q20" s="44"/>
      <c r="R20" s="44"/>
      <c r="S20" s="44"/>
      <c r="T20" s="44"/>
      <c r="U20" s="44"/>
      <c r="V20" s="44"/>
      <c r="W20" s="44"/>
      <c r="Y20" s="1"/>
    </row>
    <row r="21" spans="3:25" ht="15.75" x14ac:dyDescent="0.45">
      <c r="C21" s="1"/>
      <c r="E21" s="139" t="s">
        <v>6</v>
      </c>
      <c r="F21" s="139"/>
      <c r="G21" s="139"/>
      <c r="H21" s="139"/>
      <c r="I21" s="139"/>
      <c r="J21" s="139"/>
      <c r="K21" s="139"/>
      <c r="L21" s="139"/>
      <c r="M21" s="139"/>
      <c r="N21" s="139"/>
      <c r="O21" s="139"/>
      <c r="P21" s="139"/>
      <c r="Q21" s="139"/>
      <c r="R21" s="139"/>
      <c r="S21" s="139"/>
      <c r="T21" s="139"/>
      <c r="U21" s="139"/>
      <c r="V21" s="139"/>
      <c r="W21" s="139"/>
      <c r="Y21" s="1"/>
    </row>
    <row r="22" spans="3:25" x14ac:dyDescent="0.45">
      <c r="C22" s="1"/>
      <c r="E22" s="8"/>
      <c r="F22" s="8"/>
      <c r="G22" s="8"/>
      <c r="H22" s="8"/>
      <c r="I22" s="8"/>
      <c r="J22" s="8"/>
      <c r="K22" s="8"/>
      <c r="L22" s="8"/>
      <c r="M22" s="8"/>
      <c r="N22" s="8"/>
      <c r="O22" s="8"/>
      <c r="P22" s="8"/>
      <c r="Q22" s="8"/>
      <c r="R22" s="8"/>
      <c r="S22" s="8"/>
      <c r="T22" s="8"/>
      <c r="U22" s="8"/>
      <c r="V22" s="8"/>
      <c r="W22" s="8"/>
      <c r="Y22" s="1"/>
    </row>
    <row r="23" spans="3:25" ht="25.5" customHeight="1" x14ac:dyDescent="0.45">
      <c r="C23" s="1"/>
      <c r="E23" s="23" t="s">
        <v>7</v>
      </c>
      <c r="F23" s="23" t="s">
        <v>8</v>
      </c>
      <c r="G23" s="23" t="s">
        <v>9</v>
      </c>
      <c r="H23" s="23" t="s">
        <v>10</v>
      </c>
      <c r="I23" s="22" t="s">
        <v>11</v>
      </c>
      <c r="J23" s="24" t="s">
        <v>12</v>
      </c>
      <c r="K23" s="24" t="s">
        <v>13</v>
      </c>
      <c r="L23" s="24" t="s">
        <v>14</v>
      </c>
      <c r="M23" s="24" t="s">
        <v>15</v>
      </c>
      <c r="N23" s="24" t="s">
        <v>16</v>
      </c>
      <c r="O23" s="24" t="s">
        <v>17</v>
      </c>
      <c r="P23" s="24" t="s">
        <v>18</v>
      </c>
      <c r="Q23" s="24" t="s">
        <v>19</v>
      </c>
      <c r="R23" s="24" t="s">
        <v>20</v>
      </c>
      <c r="S23" s="24" t="s">
        <v>21</v>
      </c>
      <c r="T23" s="24" t="s">
        <v>22</v>
      </c>
      <c r="U23" s="9" t="s">
        <v>23</v>
      </c>
      <c r="V23" s="9" t="s">
        <v>24</v>
      </c>
      <c r="W23" s="9" t="s">
        <v>25</v>
      </c>
      <c r="Y23" s="1"/>
    </row>
    <row r="24" spans="3:25" ht="13.5" customHeight="1" x14ac:dyDescent="0.45">
      <c r="C24" s="1"/>
      <c r="E24" s="25" t="s">
        <v>26</v>
      </c>
      <c r="F24" s="25" t="s">
        <v>27</v>
      </c>
      <c r="G24" s="2" t="s">
        <v>28</v>
      </c>
      <c r="H24" s="2" t="s">
        <v>29</v>
      </c>
      <c r="I24" s="26" t="s">
        <v>30</v>
      </c>
      <c r="J24" s="27">
        <v>2.9</v>
      </c>
      <c r="K24" s="28">
        <v>3.5999999999999997E-2</v>
      </c>
      <c r="L24" s="29" t="s">
        <v>31</v>
      </c>
      <c r="M24" s="28">
        <v>1.4E-3</v>
      </c>
      <c r="N24" s="30">
        <v>1.91</v>
      </c>
      <c r="O24" s="27">
        <v>98.65</v>
      </c>
      <c r="P24" s="31" t="s">
        <v>32</v>
      </c>
      <c r="Q24" s="31" t="s">
        <v>33</v>
      </c>
      <c r="R24" s="31" t="s">
        <v>34</v>
      </c>
      <c r="S24" s="32" t="s">
        <v>35</v>
      </c>
      <c r="T24" s="31" t="s">
        <v>36</v>
      </c>
      <c r="U24" s="10">
        <v>0</v>
      </c>
      <c r="V24" s="92">
        <f>'Work with data'!B111</f>
        <v>2.9658393388294346E-3</v>
      </c>
      <c r="W24" s="11">
        <f>(1+V24)^(365/(Daten!$E$49-Daten!$E$17))-1</f>
        <v>2.3264998522898983E-2</v>
      </c>
      <c r="X24" s="8"/>
      <c r="Y24" s="1"/>
    </row>
    <row r="25" spans="3:25" ht="13.5" customHeight="1" x14ac:dyDescent="0.45">
      <c r="C25" s="1"/>
      <c r="E25" s="25" t="s">
        <v>37</v>
      </c>
      <c r="F25" s="25" t="s">
        <v>38</v>
      </c>
      <c r="G25" s="2" t="s">
        <v>39</v>
      </c>
      <c r="H25" s="2" t="s">
        <v>40</v>
      </c>
      <c r="I25" s="26" t="s">
        <v>41</v>
      </c>
      <c r="J25" s="27">
        <v>4.3600000000000003</v>
      </c>
      <c r="K25" s="28">
        <v>3.85E-2</v>
      </c>
      <c r="L25" s="29" t="s">
        <v>42</v>
      </c>
      <c r="M25" s="28">
        <v>4.1000000000000003E-3</v>
      </c>
      <c r="N25" s="30">
        <v>2.58</v>
      </c>
      <c r="O25" s="27">
        <v>101.35</v>
      </c>
      <c r="P25" s="31" t="s">
        <v>32</v>
      </c>
      <c r="Q25" s="31" t="s">
        <v>43</v>
      </c>
      <c r="R25" s="31" t="s">
        <v>34</v>
      </c>
      <c r="S25" s="31" t="s">
        <v>36</v>
      </c>
      <c r="T25" s="31" t="s">
        <v>36</v>
      </c>
      <c r="U25" s="11">
        <v>0.1</v>
      </c>
      <c r="V25" s="92">
        <f>'Work with data'!B112</f>
        <v>4.9897429602703269E-3</v>
      </c>
      <c r="W25" s="11">
        <f>(1+V25)^(365/(Daten!$E$49-Daten!$E$17))-1</f>
        <v>3.9410551736115851E-2</v>
      </c>
      <c r="Y25" s="1"/>
    </row>
    <row r="26" spans="3:25" ht="13.5" customHeight="1" x14ac:dyDescent="0.45">
      <c r="C26" s="1"/>
      <c r="E26" s="25" t="s">
        <v>44</v>
      </c>
      <c r="F26" s="25" t="s">
        <v>45</v>
      </c>
      <c r="G26" s="2" t="s">
        <v>46</v>
      </c>
      <c r="H26" s="2" t="s">
        <v>47</v>
      </c>
      <c r="I26" s="26" t="s">
        <v>48</v>
      </c>
      <c r="J26" s="27">
        <v>5.63</v>
      </c>
      <c r="K26" s="28">
        <v>5.7500000000000002E-2</v>
      </c>
      <c r="L26" s="29" t="s">
        <v>49</v>
      </c>
      <c r="M26" s="28">
        <v>2.2200000000000001E-2</v>
      </c>
      <c r="N26" s="30">
        <v>4.96</v>
      </c>
      <c r="O26" s="27">
        <v>99.34</v>
      </c>
      <c r="P26" s="31" t="s">
        <v>32</v>
      </c>
      <c r="Q26" s="31" t="s">
        <v>50</v>
      </c>
      <c r="R26" s="31" t="s">
        <v>34</v>
      </c>
      <c r="S26" s="31" t="s">
        <v>36</v>
      </c>
      <c r="T26" s="31" t="s">
        <v>36</v>
      </c>
      <c r="U26" s="11">
        <v>0</v>
      </c>
      <c r="V26" s="92">
        <f>'Work with data'!B113</f>
        <v>1.7644277164960975E-3</v>
      </c>
      <c r="W26" s="11">
        <f>(1+V26)^(365/(Daten!$E$49-Daten!$E$17))-1</f>
        <v>1.3784538856336459E-2</v>
      </c>
      <c r="Y26" s="1"/>
    </row>
    <row r="27" spans="3:25" ht="13.5" customHeight="1" x14ac:dyDescent="0.45">
      <c r="C27" s="1"/>
      <c r="E27" s="25" t="s">
        <v>51</v>
      </c>
      <c r="F27" s="25" t="s">
        <v>52</v>
      </c>
      <c r="G27" s="2" t="s">
        <v>53</v>
      </c>
      <c r="H27" s="2" t="s">
        <v>54</v>
      </c>
      <c r="I27" s="26" t="s">
        <v>55</v>
      </c>
      <c r="J27" s="27">
        <v>3.42</v>
      </c>
      <c r="K27" s="28">
        <v>4.1099999999999998E-2</v>
      </c>
      <c r="L27" s="29" t="s">
        <v>56</v>
      </c>
      <c r="M27" s="28">
        <v>6.3E-3</v>
      </c>
      <c r="N27" s="30">
        <v>4.13</v>
      </c>
      <c r="O27" s="27">
        <v>97.16</v>
      </c>
      <c r="P27" s="31" t="s">
        <v>32</v>
      </c>
      <c r="Q27" s="31" t="s">
        <v>57</v>
      </c>
      <c r="R27" s="31" t="s">
        <v>34</v>
      </c>
      <c r="S27" s="31" t="s">
        <v>35</v>
      </c>
      <c r="T27" s="31" t="s">
        <v>36</v>
      </c>
      <c r="U27" s="11">
        <v>0.1</v>
      </c>
      <c r="V27" s="92">
        <f>'Work with data'!B114</f>
        <v>5.4585558705959603E-3</v>
      </c>
      <c r="W27" s="11">
        <f>(1+V27)^(365/(Daten!$E$49-Daten!$E$17))-1</f>
        <v>4.3181976943061029E-2</v>
      </c>
      <c r="Y27" s="1"/>
    </row>
    <row r="28" spans="3:25" ht="13.5" customHeight="1" x14ac:dyDescent="0.45">
      <c r="C28" s="1"/>
      <c r="E28" s="25" t="s">
        <v>58</v>
      </c>
      <c r="F28" s="25" t="s">
        <v>59</v>
      </c>
      <c r="G28" s="2" t="s">
        <v>60</v>
      </c>
      <c r="H28" s="2" t="s">
        <v>29</v>
      </c>
      <c r="I28" s="26" t="s">
        <v>61</v>
      </c>
      <c r="J28" s="27">
        <v>4.18</v>
      </c>
      <c r="K28" s="28">
        <v>4.1200000000000001E-2</v>
      </c>
      <c r="L28" s="29" t="s">
        <v>62</v>
      </c>
      <c r="M28" s="28">
        <v>6.8999999999999999E-3</v>
      </c>
      <c r="N28" s="30">
        <v>2.08</v>
      </c>
      <c r="O28" s="27">
        <v>100.09</v>
      </c>
      <c r="P28" s="31" t="s">
        <v>32</v>
      </c>
      <c r="Q28" s="31" t="s">
        <v>43</v>
      </c>
      <c r="R28" s="31" t="s">
        <v>63</v>
      </c>
      <c r="S28" s="31" t="s">
        <v>35</v>
      </c>
      <c r="T28" s="31" t="s">
        <v>36</v>
      </c>
      <c r="U28" s="11">
        <v>0</v>
      </c>
      <c r="V28" s="92">
        <f>'Work with data'!B115</f>
        <v>4.8407919244908282E-3</v>
      </c>
      <c r="W28" s="11">
        <f>(1+V28)^(365/(Daten!$E$49-Daten!$E$17))-1</f>
        <v>3.8214785518100758E-2</v>
      </c>
      <c r="Y28" s="1"/>
    </row>
    <row r="29" spans="3:25" ht="13.5" customHeight="1" x14ac:dyDescent="0.45">
      <c r="C29" s="1"/>
      <c r="E29" s="25" t="s">
        <v>64</v>
      </c>
      <c r="F29" s="25" t="s">
        <v>65</v>
      </c>
      <c r="G29" s="2" t="s">
        <v>66</v>
      </c>
      <c r="H29" s="2" t="s">
        <v>29</v>
      </c>
      <c r="I29" s="26" t="s">
        <v>67</v>
      </c>
      <c r="J29" s="27">
        <v>5.71</v>
      </c>
      <c r="K29" s="28">
        <v>5.5E-2</v>
      </c>
      <c r="L29" s="29" t="s">
        <v>68</v>
      </c>
      <c r="M29" s="28">
        <v>1.4500000000000001E-2</v>
      </c>
      <c r="N29" s="30">
        <v>9.7200000000000006</v>
      </c>
      <c r="O29" s="27">
        <v>102.03</v>
      </c>
      <c r="P29" s="31" t="s">
        <v>32</v>
      </c>
      <c r="Q29" s="31" t="s">
        <v>69</v>
      </c>
      <c r="R29" s="31" t="s">
        <v>34</v>
      </c>
      <c r="S29" s="31" t="s">
        <v>35</v>
      </c>
      <c r="T29" s="31" t="s">
        <v>36</v>
      </c>
      <c r="U29" s="11">
        <v>0</v>
      </c>
      <c r="V29" s="92">
        <f>'Work with data'!B116</f>
        <v>3.1078073837751408E-3</v>
      </c>
      <c r="W29" s="11">
        <f>(1+V29)^(365/(Daten!$E$49-Daten!$E$17))-1</f>
        <v>2.4390369100764087E-2</v>
      </c>
      <c r="Y29" s="1"/>
    </row>
    <row r="30" spans="3:25" ht="13.5" customHeight="1" x14ac:dyDescent="0.45">
      <c r="C30" s="1"/>
      <c r="E30" s="25" t="s">
        <v>70</v>
      </c>
      <c r="F30" s="25" t="s">
        <v>71</v>
      </c>
      <c r="G30" s="2" t="s">
        <v>72</v>
      </c>
      <c r="H30" s="2" t="s">
        <v>29</v>
      </c>
      <c r="I30" s="26" t="s">
        <v>73</v>
      </c>
      <c r="J30" s="27">
        <v>4.13</v>
      </c>
      <c r="K30" s="28">
        <v>4.0999999999999898E-2</v>
      </c>
      <c r="L30" s="29" t="s">
        <v>74</v>
      </c>
      <c r="M30" s="28">
        <v>6.7000000000000002E-3</v>
      </c>
      <c r="N30" s="30">
        <v>2.69</v>
      </c>
      <c r="O30" s="27">
        <v>100.04</v>
      </c>
      <c r="P30" s="31" t="s">
        <v>32</v>
      </c>
      <c r="Q30" s="31" t="s">
        <v>43</v>
      </c>
      <c r="R30" s="31" t="s">
        <v>63</v>
      </c>
      <c r="S30" s="31" t="s">
        <v>36</v>
      </c>
      <c r="T30" s="31" t="s">
        <v>36</v>
      </c>
      <c r="U30" s="11">
        <v>0.1</v>
      </c>
      <c r="V30" s="92">
        <f>'Work with data'!B117</f>
        <v>3.8123478607758887E-3</v>
      </c>
      <c r="W30" s="11">
        <f>(1+V30)^(365/(Daten!$E$49-Daten!$E$17))-1</f>
        <v>2.9991179987585381E-2</v>
      </c>
      <c r="Y30" s="1"/>
    </row>
    <row r="31" spans="3:25" ht="13.5" customHeight="1" x14ac:dyDescent="0.45">
      <c r="C31" s="1"/>
      <c r="E31" s="25" t="s">
        <v>75</v>
      </c>
      <c r="F31" s="25" t="s">
        <v>76</v>
      </c>
      <c r="G31" s="2" t="s">
        <v>77</v>
      </c>
      <c r="H31" s="2" t="s">
        <v>29</v>
      </c>
      <c r="I31" s="26" t="s">
        <v>78</v>
      </c>
      <c r="J31" s="27">
        <v>5.4</v>
      </c>
      <c r="K31" s="28">
        <v>4.2999999999999997E-2</v>
      </c>
      <c r="L31" s="29" t="s">
        <v>79</v>
      </c>
      <c r="M31" s="28">
        <v>8.8000000000000005E-3</v>
      </c>
      <c r="N31" s="30">
        <v>3.33</v>
      </c>
      <c r="O31" s="27">
        <v>103.71</v>
      </c>
      <c r="P31" s="31" t="s">
        <v>32</v>
      </c>
      <c r="Q31" s="31" t="s">
        <v>80</v>
      </c>
      <c r="R31" s="31" t="s">
        <v>34</v>
      </c>
      <c r="S31" s="31" t="s">
        <v>35</v>
      </c>
      <c r="T31" s="31" t="s">
        <v>36</v>
      </c>
      <c r="U31" s="11">
        <v>0</v>
      </c>
      <c r="V31" s="92">
        <f>'Work with data'!B118</f>
        <v>5.7485177873395354E-3</v>
      </c>
      <c r="W31" s="11">
        <f>(1+V31)^(365/(Daten!$E$49-Daten!$E$17))-1</f>
        <v>4.5520575080913783E-2</v>
      </c>
      <c r="Y31" s="1"/>
    </row>
    <row r="32" spans="3:25" ht="13.5" customHeight="1" x14ac:dyDescent="0.45">
      <c r="C32" s="1"/>
      <c r="E32" s="25" t="s">
        <v>81</v>
      </c>
      <c r="F32" s="25" t="s">
        <v>82</v>
      </c>
      <c r="G32" s="2" t="s">
        <v>83</v>
      </c>
      <c r="H32" s="2" t="s">
        <v>29</v>
      </c>
      <c r="I32" s="26" t="s">
        <v>84</v>
      </c>
      <c r="J32" s="27">
        <v>4.38</v>
      </c>
      <c r="K32" s="28">
        <v>4.2799999999999998E-2</v>
      </c>
      <c r="L32" s="29" t="s">
        <v>68</v>
      </c>
      <c r="M32" s="28">
        <v>8.3999999999999995E-3</v>
      </c>
      <c r="N32" s="30">
        <v>2.41</v>
      </c>
      <c r="O32" s="27">
        <v>100.15</v>
      </c>
      <c r="P32" s="31" t="s">
        <v>32</v>
      </c>
      <c r="Q32" s="31" t="s">
        <v>85</v>
      </c>
      <c r="R32" s="31" t="s">
        <v>34</v>
      </c>
      <c r="S32" s="31" t="s">
        <v>35</v>
      </c>
      <c r="T32" s="31" t="s">
        <v>36</v>
      </c>
      <c r="U32" s="11">
        <v>0</v>
      </c>
      <c r="V32" s="92">
        <f>'Work with data'!B119</f>
        <v>4.1354866207587992E-3</v>
      </c>
      <c r="W32" s="11">
        <f>(1+V32)^(365/(Daten!$E$49-Daten!$E$17))-1</f>
        <v>3.2568913532082133E-2</v>
      </c>
      <c r="Y32" s="1"/>
    </row>
    <row r="33" spans="3:25" ht="13.5" customHeight="1" x14ac:dyDescent="0.45">
      <c r="C33" s="1"/>
      <c r="E33" s="25" t="s">
        <v>86</v>
      </c>
      <c r="F33" s="25" t="s">
        <v>87</v>
      </c>
      <c r="G33" s="2" t="s">
        <v>88</v>
      </c>
      <c r="H33" s="2" t="s">
        <v>89</v>
      </c>
      <c r="I33" s="26" t="s">
        <v>90</v>
      </c>
      <c r="J33" s="27">
        <v>7.05</v>
      </c>
      <c r="K33" s="28">
        <v>8.2500000000000004E-2</v>
      </c>
      <c r="L33" s="29" t="s">
        <v>91</v>
      </c>
      <c r="M33" s="28">
        <v>4.7199999999999999E-2</v>
      </c>
      <c r="N33" s="30">
        <v>4.9400000000000004</v>
      </c>
      <c r="O33" s="27">
        <v>94.15</v>
      </c>
      <c r="P33" s="31" t="s">
        <v>32</v>
      </c>
      <c r="Q33" s="31" t="s">
        <v>50</v>
      </c>
      <c r="R33" s="31" t="s">
        <v>34</v>
      </c>
      <c r="S33" s="31" t="s">
        <v>36</v>
      </c>
      <c r="T33" s="31" t="s">
        <v>36</v>
      </c>
      <c r="U33" s="11">
        <v>0</v>
      </c>
      <c r="V33" s="92">
        <f>'Work with data'!B120</f>
        <v>2.3765030462250092E-2</v>
      </c>
      <c r="W33" s="11">
        <f>(1+V33)^(365/(Daten!$E$49-Daten!$E$17))-1</f>
        <v>0.20009333924816142</v>
      </c>
      <c r="Y33" s="1"/>
    </row>
    <row r="34" spans="3:25" ht="13.5" customHeight="1" x14ac:dyDescent="0.45">
      <c r="C34" s="1"/>
      <c r="E34" s="25" t="s">
        <v>92</v>
      </c>
      <c r="F34" s="25" t="s">
        <v>93</v>
      </c>
      <c r="G34" s="2" t="s">
        <v>94</v>
      </c>
      <c r="H34" s="2" t="s">
        <v>95</v>
      </c>
      <c r="I34" s="26" t="s">
        <v>96</v>
      </c>
      <c r="J34" s="27">
        <v>5.13</v>
      </c>
      <c r="K34" s="28">
        <v>4.1500000000000002E-2</v>
      </c>
      <c r="L34" s="29" t="s">
        <v>42</v>
      </c>
      <c r="M34" s="28">
        <v>6.8999999999999999E-3</v>
      </c>
      <c r="N34" s="30">
        <v>1.94</v>
      </c>
      <c r="O34" s="27">
        <v>101.94</v>
      </c>
      <c r="P34" s="31" t="s">
        <v>32</v>
      </c>
      <c r="Q34" s="31" t="s">
        <v>43</v>
      </c>
      <c r="R34" s="31" t="s">
        <v>34</v>
      </c>
      <c r="S34" s="31" t="s">
        <v>36</v>
      </c>
      <c r="T34" s="31" t="s">
        <v>36</v>
      </c>
      <c r="U34" s="11">
        <v>0</v>
      </c>
      <c r="V34" s="92">
        <f>'Work with data'!B121</f>
        <v>5.7271822197664246E-3</v>
      </c>
      <c r="W34" s="11">
        <f>(1+V34)^(365/(Daten!$E$49-Daten!$E$17))-1</f>
        <v>4.5348344120800022E-2</v>
      </c>
      <c r="Y34" s="1"/>
    </row>
    <row r="35" spans="3:25" ht="13.5" customHeight="1" x14ac:dyDescent="0.45">
      <c r="C35" s="1"/>
      <c r="E35" s="25" t="s">
        <v>97</v>
      </c>
      <c r="F35" s="25" t="s">
        <v>98</v>
      </c>
      <c r="G35" s="2" t="s">
        <v>99</v>
      </c>
      <c r="H35" s="2" t="s">
        <v>29</v>
      </c>
      <c r="I35" s="26" t="s">
        <v>100</v>
      </c>
      <c r="J35" s="27">
        <v>3.25</v>
      </c>
      <c r="K35" s="28">
        <v>5.7500000000000002E-2</v>
      </c>
      <c r="L35" s="29" t="s">
        <v>68</v>
      </c>
      <c r="M35" s="28">
        <v>2.1499999999999998E-2</v>
      </c>
      <c r="N35" s="30">
        <v>5.63</v>
      </c>
      <c r="O35" s="27">
        <v>86.76</v>
      </c>
      <c r="P35" s="31" t="s">
        <v>32</v>
      </c>
      <c r="Q35" s="31" t="s">
        <v>101</v>
      </c>
      <c r="R35" s="31" t="s">
        <v>34</v>
      </c>
      <c r="S35" s="31" t="s">
        <v>35</v>
      </c>
      <c r="T35" s="31" t="s">
        <v>36</v>
      </c>
      <c r="U35" s="11">
        <v>0</v>
      </c>
      <c r="V35" s="92">
        <f>'Work with data'!B122</f>
        <v>9.5657400052018282E-4</v>
      </c>
      <c r="W35" s="11">
        <f>(1+V35)^(365/(Daten!$E$49-Daten!$E$17))-1</f>
        <v>7.4527970623663453E-3</v>
      </c>
      <c r="Y35" s="1"/>
    </row>
    <row r="36" spans="3:25" ht="13.5" customHeight="1" x14ac:dyDescent="0.45">
      <c r="C36" s="1"/>
      <c r="E36" s="25" t="s">
        <v>102</v>
      </c>
      <c r="F36" s="25" t="s">
        <v>103</v>
      </c>
      <c r="G36" s="2" t="s">
        <v>104</v>
      </c>
      <c r="H36" s="2" t="s">
        <v>29</v>
      </c>
      <c r="I36" s="26" t="s">
        <v>105</v>
      </c>
      <c r="J36" s="27">
        <v>6.75</v>
      </c>
      <c r="K36" s="28">
        <v>4.2599999999999999E-2</v>
      </c>
      <c r="L36" s="29" t="s">
        <v>62</v>
      </c>
      <c r="M36" s="28">
        <v>7.0000000000000001E-3</v>
      </c>
      <c r="N36" s="30">
        <v>5.21</v>
      </c>
      <c r="O36" s="27">
        <v>113.96</v>
      </c>
      <c r="P36" s="31" t="s">
        <v>32</v>
      </c>
      <c r="Q36" s="31" t="s">
        <v>106</v>
      </c>
      <c r="R36" s="31" t="s">
        <v>34</v>
      </c>
      <c r="S36" s="31" t="s">
        <v>36</v>
      </c>
      <c r="T36" s="31" t="s">
        <v>36</v>
      </c>
      <c r="U36" s="11">
        <v>0.1</v>
      </c>
      <c r="V36" s="92">
        <f>'Work with data'!B123</f>
        <v>5.551790133628387E-3</v>
      </c>
      <c r="W36" s="11">
        <f>(1+V36)^(365/(Daten!$E$49-Daten!$E$17))-1</f>
        <v>4.3933431443520909E-2</v>
      </c>
      <c r="Y36" s="1"/>
    </row>
    <row r="37" spans="3:25" ht="13.5" customHeight="1" x14ac:dyDescent="0.45">
      <c r="C37" s="1"/>
      <c r="E37" s="25" t="s">
        <v>107</v>
      </c>
      <c r="F37" s="25" t="s">
        <v>108</v>
      </c>
      <c r="G37" s="2" t="s">
        <v>109</v>
      </c>
      <c r="H37" s="2" t="s">
        <v>29</v>
      </c>
      <c r="I37" s="26" t="s">
        <v>110</v>
      </c>
      <c r="J37" s="27">
        <v>5.4</v>
      </c>
      <c r="K37" s="28">
        <v>4.3899999999999897E-2</v>
      </c>
      <c r="L37" s="29" t="s">
        <v>79</v>
      </c>
      <c r="M37" s="28">
        <v>9.7999999999999997E-3</v>
      </c>
      <c r="N37" s="30">
        <v>3.6</v>
      </c>
      <c r="O37" s="27">
        <v>103.65</v>
      </c>
      <c r="P37" s="31" t="s">
        <v>32</v>
      </c>
      <c r="Q37" s="31" t="s">
        <v>101</v>
      </c>
      <c r="R37" s="31" t="s">
        <v>34</v>
      </c>
      <c r="S37" s="31" t="s">
        <v>35</v>
      </c>
      <c r="T37" s="31" t="s">
        <v>36</v>
      </c>
      <c r="U37" s="11">
        <v>0</v>
      </c>
      <c r="V37" s="92">
        <f>'Work with data'!B124</f>
        <v>6.3809420948925943E-3</v>
      </c>
      <c r="W37" s="11">
        <f>(1+V37)^(365/(Daten!$E$49-Daten!$E$17))-1</f>
        <v>5.0637048585729705E-2</v>
      </c>
      <c r="Y37" s="1"/>
    </row>
    <row r="38" spans="3:25" ht="13.5" customHeight="1" x14ac:dyDescent="0.45">
      <c r="C38" s="1"/>
      <c r="E38" s="25" t="s">
        <v>111</v>
      </c>
      <c r="F38" s="25" t="s">
        <v>112</v>
      </c>
      <c r="G38" s="2" t="s">
        <v>113</v>
      </c>
      <c r="H38" s="2" t="s">
        <v>29</v>
      </c>
      <c r="I38" s="26" t="s">
        <v>110</v>
      </c>
      <c r="J38" s="27">
        <v>4.55</v>
      </c>
      <c r="K38" s="28">
        <v>4.2900000000000001E-2</v>
      </c>
      <c r="L38" s="29" t="s">
        <v>79</v>
      </c>
      <c r="M38" s="28">
        <v>8.3000000000000001E-3</v>
      </c>
      <c r="N38" s="30">
        <v>3.65</v>
      </c>
      <c r="O38" s="27">
        <v>100.99</v>
      </c>
      <c r="P38" s="31" t="s">
        <v>32</v>
      </c>
      <c r="Q38" s="31" t="s">
        <v>114</v>
      </c>
      <c r="R38" s="31" t="s">
        <v>34</v>
      </c>
      <c r="S38" s="31" t="s">
        <v>35</v>
      </c>
      <c r="T38" s="31" t="s">
        <v>36</v>
      </c>
      <c r="U38" s="11">
        <v>0</v>
      </c>
      <c r="V38" s="92">
        <f>'Work with data'!B125</f>
        <v>4.3162475378877296E-3</v>
      </c>
      <c r="W38" s="11">
        <f>(1+V38)^(365/(Daten!$E$49-Daten!$E$17))-1</f>
        <v>3.4013324461646954E-2</v>
      </c>
      <c r="Y38" s="1"/>
    </row>
    <row r="39" spans="3:25" ht="13.5" customHeight="1" x14ac:dyDescent="0.45">
      <c r="C39" s="1"/>
      <c r="E39" s="25" t="s">
        <v>115</v>
      </c>
      <c r="F39" s="25" t="s">
        <v>116</v>
      </c>
      <c r="G39" s="2" t="s">
        <v>117</v>
      </c>
      <c r="H39" s="2" t="s">
        <v>118</v>
      </c>
      <c r="I39" s="26" t="s">
        <v>119</v>
      </c>
      <c r="J39" s="27">
        <v>5.34</v>
      </c>
      <c r="K39" s="28">
        <v>5.0900000000000001E-2</v>
      </c>
      <c r="L39" s="29" t="s">
        <v>62</v>
      </c>
      <c r="M39" s="28">
        <v>1.2800000000000001E-2</v>
      </c>
      <c r="N39" s="30">
        <v>7.54</v>
      </c>
      <c r="O39" s="27">
        <v>101.87</v>
      </c>
      <c r="P39" s="31" t="s">
        <v>32</v>
      </c>
      <c r="Q39" s="31" t="s">
        <v>101</v>
      </c>
      <c r="R39" s="31" t="s">
        <v>34</v>
      </c>
      <c r="S39" s="31" t="s">
        <v>35</v>
      </c>
      <c r="T39" s="31" t="s">
        <v>36</v>
      </c>
      <c r="U39" s="11">
        <v>0</v>
      </c>
      <c r="V39" s="92">
        <f>'Work with data'!B126</f>
        <v>5.5545472919695804E-3</v>
      </c>
      <c r="W39" s="11">
        <f>(1+V39)^(365/(Daten!$E$49-Daten!$E$17))-1</f>
        <v>4.3955660913371108E-2</v>
      </c>
      <c r="Y39" s="1"/>
    </row>
    <row r="40" spans="3:25" ht="13.5" customHeight="1" x14ac:dyDescent="0.45">
      <c r="C40" s="1"/>
      <c r="E40" s="25" t="s">
        <v>120</v>
      </c>
      <c r="F40" s="25" t="s">
        <v>121</v>
      </c>
      <c r="G40" s="2" t="s">
        <v>122</v>
      </c>
      <c r="H40" s="2" t="s">
        <v>123</v>
      </c>
      <c r="I40" s="26" t="s">
        <v>124</v>
      </c>
      <c r="J40" s="27">
        <v>5.79</v>
      </c>
      <c r="K40" s="28">
        <v>5.0799999999999998E-2</v>
      </c>
      <c r="L40" s="29" t="s">
        <v>62</v>
      </c>
      <c r="M40" s="28">
        <v>1.38E-2</v>
      </c>
      <c r="N40" s="30">
        <v>7.3</v>
      </c>
      <c r="O40" s="27">
        <v>105.43</v>
      </c>
      <c r="P40" s="31" t="s">
        <v>32</v>
      </c>
      <c r="Q40" s="31" t="s">
        <v>43</v>
      </c>
      <c r="R40" s="31" t="s">
        <v>34</v>
      </c>
      <c r="S40" s="31" t="s">
        <v>35</v>
      </c>
      <c r="T40" s="31" t="s">
        <v>36</v>
      </c>
      <c r="U40" s="11">
        <v>0</v>
      </c>
      <c r="V40" s="92">
        <f>'Work with data'!B127</f>
        <v>4.2697150978796561E-3</v>
      </c>
      <c r="W40" s="11">
        <f>(1+V40)^(365/(Daten!$E$49-Daten!$E$17))-1</f>
        <v>3.3641328343607668E-2</v>
      </c>
      <c r="Y40" s="1"/>
    </row>
    <row r="41" spans="3:25" ht="13.5" customHeight="1" x14ac:dyDescent="0.45">
      <c r="C41" s="1"/>
      <c r="E41" s="25" t="s">
        <v>125</v>
      </c>
      <c r="F41" s="25" t="s">
        <v>126</v>
      </c>
      <c r="G41" s="2" t="s">
        <v>127</v>
      </c>
      <c r="H41" s="2" t="s">
        <v>128</v>
      </c>
      <c r="I41" s="26" t="s">
        <v>129</v>
      </c>
      <c r="J41" s="27">
        <v>4.55</v>
      </c>
      <c r="K41" s="28">
        <v>4.1500000000000002E-2</v>
      </c>
      <c r="L41" s="29" t="s">
        <v>79</v>
      </c>
      <c r="M41" s="28">
        <v>7.1000000000000004E-3</v>
      </c>
      <c r="N41" s="30">
        <v>2.2000000000000002</v>
      </c>
      <c r="O41" s="27">
        <v>101.125</v>
      </c>
      <c r="P41" s="31" t="s">
        <v>32</v>
      </c>
      <c r="Q41" s="31" t="s">
        <v>50</v>
      </c>
      <c r="R41" s="31" t="s">
        <v>34</v>
      </c>
      <c r="S41" s="31" t="s">
        <v>35</v>
      </c>
      <c r="T41" s="31" t="s">
        <v>36</v>
      </c>
      <c r="U41" s="11">
        <v>0</v>
      </c>
      <c r="V41" s="92">
        <f>'Work with data'!B128</f>
        <v>6.3986592832978584E-3</v>
      </c>
      <c r="W41" s="11">
        <f>(1+V41)^(365/(Daten!$E$49-Daten!$E$17))-1</f>
        <v>5.0780698702273197E-2</v>
      </c>
      <c r="Y41" s="1"/>
    </row>
    <row r="42" spans="3:25" ht="13.5" customHeight="1" x14ac:dyDescent="0.45">
      <c r="C42" s="1"/>
      <c r="E42" s="25" t="s">
        <v>130</v>
      </c>
      <c r="F42" s="25" t="s">
        <v>131</v>
      </c>
      <c r="G42" s="2" t="s">
        <v>132</v>
      </c>
      <c r="H42" s="2" t="s">
        <v>133</v>
      </c>
      <c r="I42" s="26" t="s">
        <v>134</v>
      </c>
      <c r="J42" s="27">
        <v>5.53</v>
      </c>
      <c r="K42" s="28">
        <v>5.04E-2</v>
      </c>
      <c r="L42" s="29" t="s">
        <v>62</v>
      </c>
      <c r="M42" s="28">
        <v>1.3299999999999999E-2</v>
      </c>
      <c r="N42" s="30">
        <v>7.24</v>
      </c>
      <c r="O42" s="27">
        <v>103.59</v>
      </c>
      <c r="P42" s="31" t="s">
        <v>32</v>
      </c>
      <c r="Q42" s="31" t="s">
        <v>43</v>
      </c>
      <c r="R42" s="31" t="s">
        <v>34</v>
      </c>
      <c r="S42" s="31" t="s">
        <v>35</v>
      </c>
      <c r="T42" s="31" t="s">
        <v>36</v>
      </c>
      <c r="U42" s="11">
        <v>0</v>
      </c>
      <c r="V42" s="92">
        <f>'Work with data'!B129</f>
        <v>4.5570069107689903E-3</v>
      </c>
      <c r="W42" s="11">
        <f>(1+V42)^(365/(Daten!$E$49-Daten!$E$17))-1</f>
        <v>3.5939900176570116E-2</v>
      </c>
      <c r="Y42" s="1"/>
    </row>
    <row r="43" spans="3:25" ht="13.5" customHeight="1" x14ac:dyDescent="0.45">
      <c r="C43" s="1"/>
      <c r="E43" s="25" t="s">
        <v>135</v>
      </c>
      <c r="F43" s="25" t="s">
        <v>136</v>
      </c>
      <c r="G43" s="2" t="s">
        <v>137</v>
      </c>
      <c r="H43" s="2" t="s">
        <v>29</v>
      </c>
      <c r="I43" s="26" t="s">
        <v>138</v>
      </c>
      <c r="J43" s="27">
        <v>5.2</v>
      </c>
      <c r="K43" s="28">
        <v>4.9399999999999999E-2</v>
      </c>
      <c r="L43" s="29" t="s">
        <v>79</v>
      </c>
      <c r="M43" s="28">
        <v>1.2999999999999999E-2</v>
      </c>
      <c r="N43" s="30">
        <v>6.1</v>
      </c>
      <c r="O43" s="27">
        <v>101.43</v>
      </c>
      <c r="P43" s="31" t="s">
        <v>32</v>
      </c>
      <c r="Q43" s="31" t="s">
        <v>139</v>
      </c>
      <c r="R43" s="31" t="s">
        <v>34</v>
      </c>
      <c r="S43" s="31" t="s">
        <v>35</v>
      </c>
      <c r="T43" s="31" t="s">
        <v>36</v>
      </c>
      <c r="U43" s="11">
        <v>0</v>
      </c>
      <c r="V43" s="92">
        <f>'Work with data'!B130</f>
        <v>1.8761157214852719E-3</v>
      </c>
      <c r="W43" s="11">
        <f>(1+V43)^(365/(Daten!$E$49-Daten!$E$17))-1</f>
        <v>1.4662641744866978E-2</v>
      </c>
      <c r="Y43" s="1"/>
    </row>
    <row r="44" spans="3:25" ht="13.5" customHeight="1" x14ac:dyDescent="0.45">
      <c r="C44" s="1"/>
      <c r="E44" s="25" t="s">
        <v>140</v>
      </c>
      <c r="F44" s="25" t="s">
        <v>141</v>
      </c>
      <c r="G44" s="2" t="s">
        <v>142</v>
      </c>
      <c r="H44" s="2" t="s">
        <v>143</v>
      </c>
      <c r="I44" s="26" t="s">
        <v>144</v>
      </c>
      <c r="J44" s="27">
        <v>4.63</v>
      </c>
      <c r="K44" s="28">
        <v>3.8599999999999898E-2</v>
      </c>
      <c r="L44" s="29" t="s">
        <v>145</v>
      </c>
      <c r="M44" s="28">
        <v>4.1000000000000003E-3</v>
      </c>
      <c r="N44" s="30">
        <v>2.2599999999999998</v>
      </c>
      <c r="O44" s="27">
        <v>101.73399999999999</v>
      </c>
      <c r="P44" s="31" t="s">
        <v>32</v>
      </c>
      <c r="Q44" s="31" t="s">
        <v>146</v>
      </c>
      <c r="R44" s="31" t="s">
        <v>34</v>
      </c>
      <c r="S44" s="31" t="s">
        <v>36</v>
      </c>
      <c r="T44" s="31" t="s">
        <v>36</v>
      </c>
      <c r="U44" s="11">
        <v>0</v>
      </c>
      <c r="V44" s="92">
        <f>'Work with data'!B131</f>
        <v>6.0315194815412365E-3</v>
      </c>
      <c r="W44" s="11">
        <f>(1+V44)^(365/(Daten!$E$49-Daten!$E$17))-1</f>
        <v>4.7807440795887057E-2</v>
      </c>
      <c r="Y44" s="1"/>
    </row>
    <row r="45" spans="3:25" ht="13.5" customHeight="1" x14ac:dyDescent="0.45">
      <c r="C45" s="1"/>
      <c r="E45" s="25" t="s">
        <v>147</v>
      </c>
      <c r="F45" s="25" t="s">
        <v>148</v>
      </c>
      <c r="G45" s="2" t="s">
        <v>149</v>
      </c>
      <c r="H45" s="2" t="s">
        <v>54</v>
      </c>
      <c r="I45" s="26" t="s">
        <v>150</v>
      </c>
      <c r="J45" s="27">
        <v>5.83</v>
      </c>
      <c r="K45" s="28">
        <v>4.2900000000000001E-2</v>
      </c>
      <c r="L45" s="29" t="s">
        <v>79</v>
      </c>
      <c r="M45" s="28">
        <v>8.8999999999999999E-3</v>
      </c>
      <c r="N45" s="30">
        <v>2.21</v>
      </c>
      <c r="O45" s="27">
        <v>103.35</v>
      </c>
      <c r="P45" s="31" t="s">
        <v>32</v>
      </c>
      <c r="Q45" s="31" t="s">
        <v>33</v>
      </c>
      <c r="R45" s="31" t="s">
        <v>34</v>
      </c>
      <c r="S45" s="31" t="s">
        <v>35</v>
      </c>
      <c r="T45" s="31" t="s">
        <v>36</v>
      </c>
      <c r="U45" s="11">
        <v>0</v>
      </c>
      <c r="V45" s="92">
        <f>'Work with data'!B132</f>
        <v>8.1647249934690969E-3</v>
      </c>
      <c r="W45" s="11">
        <f>(1+V45)^(365/(Daten!$E$49-Daten!$E$17))-1</f>
        <v>6.5186027133934621E-2</v>
      </c>
      <c r="Y45" s="1"/>
    </row>
    <row r="46" spans="3:25" ht="13.5" customHeight="1" x14ac:dyDescent="0.45">
      <c r="C46" s="1"/>
      <c r="E46" s="25" t="s">
        <v>151</v>
      </c>
      <c r="F46" s="25" t="s">
        <v>152</v>
      </c>
      <c r="G46" s="2" t="s">
        <v>153</v>
      </c>
      <c r="H46" s="2" t="s">
        <v>123</v>
      </c>
      <c r="I46" s="26" t="s">
        <v>154</v>
      </c>
      <c r="J46" s="27">
        <v>3.57</v>
      </c>
      <c r="K46" s="28">
        <v>4.1799999999999997E-2</v>
      </c>
      <c r="L46" s="29" t="s">
        <v>74</v>
      </c>
      <c r="M46" s="28">
        <v>1.32E-2</v>
      </c>
      <c r="N46" s="30">
        <v>2.92</v>
      </c>
      <c r="O46" s="27">
        <v>98.76</v>
      </c>
      <c r="P46" s="31" t="s">
        <v>32</v>
      </c>
      <c r="Q46" s="31" t="s">
        <v>43</v>
      </c>
      <c r="R46" s="31" t="s">
        <v>34</v>
      </c>
      <c r="S46" s="31" t="s">
        <v>35</v>
      </c>
      <c r="T46" s="31" t="s">
        <v>36</v>
      </c>
      <c r="U46" s="11">
        <v>0</v>
      </c>
      <c r="V46" s="92">
        <f>'Work with data'!B133</f>
        <v>3.9602788242820708E-3</v>
      </c>
      <c r="W46" s="11">
        <f>(1+V46)^(365/(Daten!$E$49-Daten!$E$17))-1</f>
        <v>3.1170554092788683E-2</v>
      </c>
      <c r="Y46" s="1"/>
    </row>
    <row r="47" spans="3:25" ht="13.5" customHeight="1" x14ac:dyDescent="0.45">
      <c r="C47" s="1"/>
      <c r="E47" s="25" t="s">
        <v>155</v>
      </c>
      <c r="F47" s="25" t="s">
        <v>156</v>
      </c>
      <c r="G47" s="2" t="s">
        <v>157</v>
      </c>
      <c r="H47" s="2" t="s">
        <v>29</v>
      </c>
      <c r="I47" s="26" t="s">
        <v>158</v>
      </c>
      <c r="J47" s="27">
        <v>4.75</v>
      </c>
      <c r="K47" s="28">
        <v>4.5999999999999999E-2</v>
      </c>
      <c r="L47" s="29" t="s">
        <v>62</v>
      </c>
      <c r="M47" s="28">
        <v>8.6E-3</v>
      </c>
      <c r="N47" s="30">
        <v>6.89</v>
      </c>
      <c r="O47" s="27">
        <v>101.15</v>
      </c>
      <c r="P47" s="31" t="s">
        <v>32</v>
      </c>
      <c r="Q47" s="31" t="s">
        <v>69</v>
      </c>
      <c r="R47" s="31" t="s">
        <v>34</v>
      </c>
      <c r="S47" s="31" t="s">
        <v>35</v>
      </c>
      <c r="T47" s="31" t="s">
        <v>36</v>
      </c>
      <c r="U47" s="11">
        <v>0.1</v>
      </c>
      <c r="V47" s="92">
        <f>'Work with data'!B134</f>
        <v>3.1889048514799345E-3</v>
      </c>
      <c r="W47" s="11">
        <f>(1+V47)^(365/(Daten!$E$49-Daten!$E$17))-1</f>
        <v>2.5033706735888339E-2</v>
      </c>
      <c r="Y47" s="1"/>
    </row>
    <row r="48" spans="3:25" ht="13.5" customHeight="1" x14ac:dyDescent="0.45">
      <c r="C48" s="1"/>
      <c r="E48" s="25" t="s">
        <v>159</v>
      </c>
      <c r="F48" s="25" t="s">
        <v>160</v>
      </c>
      <c r="G48" s="2" t="s">
        <v>161</v>
      </c>
      <c r="H48" s="2" t="s">
        <v>29</v>
      </c>
      <c r="I48" s="26" t="s">
        <v>162</v>
      </c>
      <c r="J48" s="27">
        <v>3.85</v>
      </c>
      <c r="K48" s="28">
        <v>4.2299999999999997E-2</v>
      </c>
      <c r="L48" s="29" t="s">
        <v>42</v>
      </c>
      <c r="M48" s="28">
        <v>5.8999999999999999E-3</v>
      </c>
      <c r="N48" s="30">
        <v>6.01</v>
      </c>
      <c r="O48" s="27">
        <v>97.48</v>
      </c>
      <c r="P48" s="31" t="s">
        <v>32</v>
      </c>
      <c r="Q48" s="31" t="s">
        <v>114</v>
      </c>
      <c r="R48" s="31" t="s">
        <v>34</v>
      </c>
      <c r="S48" s="31" t="s">
        <v>35</v>
      </c>
      <c r="T48" s="31" t="s">
        <v>36</v>
      </c>
      <c r="U48" s="11">
        <v>0</v>
      </c>
      <c r="V48" s="92">
        <f>'Work with data'!B135</f>
        <v>-1.1534000762003505E-4</v>
      </c>
      <c r="W48" s="11">
        <f>(1+V48)^(365/(Daten!$E$49-Daten!$E$17))-1</f>
        <v>-8.953761628911483E-4</v>
      </c>
      <c r="Y48" s="1"/>
    </row>
    <row r="49" spans="3:25" ht="13.5" customHeight="1" x14ac:dyDescent="0.45">
      <c r="C49" s="1"/>
      <c r="E49" s="25" t="s">
        <v>163</v>
      </c>
      <c r="F49" s="25" t="s">
        <v>164</v>
      </c>
      <c r="G49" s="2" t="s">
        <v>165</v>
      </c>
      <c r="H49" s="2" t="s">
        <v>29</v>
      </c>
      <c r="I49" s="26" t="s">
        <v>166</v>
      </c>
      <c r="J49" s="27">
        <v>5.7</v>
      </c>
      <c r="K49" s="28">
        <v>4.7599999999999899E-2</v>
      </c>
      <c r="L49" s="29" t="s">
        <v>56</v>
      </c>
      <c r="M49" s="28">
        <v>9.5999999999999992E-3</v>
      </c>
      <c r="N49" s="30">
        <v>7.45</v>
      </c>
      <c r="O49" s="27">
        <v>107.45</v>
      </c>
      <c r="P49" s="31" t="s">
        <v>32</v>
      </c>
      <c r="Q49" s="31" t="s">
        <v>167</v>
      </c>
      <c r="R49" s="31" t="s">
        <v>34</v>
      </c>
      <c r="S49" s="31" t="s">
        <v>36</v>
      </c>
      <c r="T49" s="31" t="s">
        <v>36</v>
      </c>
      <c r="U49" s="11">
        <v>0.1</v>
      </c>
      <c r="V49" s="92">
        <f>'Work with data'!B136</f>
        <v>2.6517724473646975E-3</v>
      </c>
      <c r="W49" s="11">
        <f>(1+V49)^(365/(Daten!$E$49-Daten!$E$17))-1</f>
        <v>2.0779239021856188E-2</v>
      </c>
      <c r="Y49" s="1"/>
    </row>
    <row r="50" spans="3:25" ht="13.5" customHeight="1" x14ac:dyDescent="0.45">
      <c r="C50" s="1"/>
      <c r="E50" s="25" t="s">
        <v>168</v>
      </c>
      <c r="F50" s="25" t="s">
        <v>169</v>
      </c>
      <c r="G50" s="2" t="s">
        <v>170</v>
      </c>
      <c r="H50" s="2" t="s">
        <v>171</v>
      </c>
      <c r="I50" s="26" t="s">
        <v>172</v>
      </c>
      <c r="J50" s="27">
        <v>3.25</v>
      </c>
      <c r="K50" s="28">
        <v>4.7300000000000002E-2</v>
      </c>
      <c r="L50" s="29" t="s">
        <v>79</v>
      </c>
      <c r="M50" s="28">
        <v>1.2500000000000001E-2</v>
      </c>
      <c r="N50" s="30">
        <v>4.16</v>
      </c>
      <c r="O50" s="27">
        <v>94.043999999999997</v>
      </c>
      <c r="P50" s="31" t="s">
        <v>32</v>
      </c>
      <c r="Q50" s="31" t="s">
        <v>50</v>
      </c>
      <c r="R50" s="31" t="s">
        <v>34</v>
      </c>
      <c r="S50" s="31" t="s">
        <v>35</v>
      </c>
      <c r="T50" s="31" t="s">
        <v>36</v>
      </c>
      <c r="U50" s="11">
        <v>0</v>
      </c>
      <c r="V50" s="92">
        <f>'Work with data'!B137</f>
        <v>3.984589565205976E-3</v>
      </c>
      <c r="W50" s="11">
        <f>(1+V50)^(365/(Daten!$E$49-Daten!$E$17))-1</f>
        <v>3.1364483089614481E-2</v>
      </c>
      <c r="Y50" s="1"/>
    </row>
    <row r="51" spans="3:25" ht="13.5" customHeight="1" x14ac:dyDescent="0.45">
      <c r="C51" s="1"/>
      <c r="E51" s="25" t="s">
        <v>173</v>
      </c>
      <c r="F51" s="25" t="s">
        <v>174</v>
      </c>
      <c r="G51" s="2" t="s">
        <v>175</v>
      </c>
      <c r="H51" s="2" t="s">
        <v>118</v>
      </c>
      <c r="I51" s="26" t="s">
        <v>176</v>
      </c>
      <c r="J51" s="27">
        <v>5.62</v>
      </c>
      <c r="K51" s="28">
        <v>4.9500000000000002E-2</v>
      </c>
      <c r="L51" s="29" t="s">
        <v>62</v>
      </c>
      <c r="M51" s="28">
        <v>1.1599999999999999E-2</v>
      </c>
      <c r="N51" s="30">
        <v>7.31</v>
      </c>
      <c r="O51" s="27">
        <v>105.02</v>
      </c>
      <c r="P51" s="31" t="s">
        <v>32</v>
      </c>
      <c r="Q51" s="31" t="s">
        <v>43</v>
      </c>
      <c r="R51" s="31" t="s">
        <v>34</v>
      </c>
      <c r="S51" s="31" t="s">
        <v>35</v>
      </c>
      <c r="T51" s="31" t="s">
        <v>36</v>
      </c>
      <c r="U51" s="11">
        <v>0</v>
      </c>
      <c r="V51" s="92">
        <f>'Work with data'!B138</f>
        <v>5.4519929671470457E-3</v>
      </c>
      <c r="W51" s="11">
        <f>(1+V51)^(365/(Daten!$E$49-Daten!$E$17))-1</f>
        <v>4.3129098661523146E-2</v>
      </c>
      <c r="Y51" s="1"/>
    </row>
    <row r="52" spans="3:25" ht="13.5" customHeight="1" x14ac:dyDescent="0.45">
      <c r="C52" s="1"/>
      <c r="E52" s="25" t="s">
        <v>177</v>
      </c>
      <c r="F52" s="25" t="s">
        <v>178</v>
      </c>
      <c r="G52" s="2" t="s">
        <v>179</v>
      </c>
      <c r="H52" s="2" t="s">
        <v>29</v>
      </c>
      <c r="I52" s="26" t="s">
        <v>180</v>
      </c>
      <c r="J52" s="27">
        <v>6.63</v>
      </c>
      <c r="K52" s="28">
        <v>4.8799999999999899E-2</v>
      </c>
      <c r="L52" s="29" t="s">
        <v>181</v>
      </c>
      <c r="M52" s="28">
        <v>1.54E-2</v>
      </c>
      <c r="N52" s="30">
        <v>4.25</v>
      </c>
      <c r="O52" s="27">
        <v>107.07</v>
      </c>
      <c r="P52" s="31" t="s">
        <v>32</v>
      </c>
      <c r="Q52" s="31" t="s">
        <v>182</v>
      </c>
      <c r="R52" s="31" t="s">
        <v>34</v>
      </c>
      <c r="S52" s="31" t="s">
        <v>35</v>
      </c>
      <c r="T52" s="31" t="s">
        <v>36</v>
      </c>
      <c r="U52" s="11">
        <v>0</v>
      </c>
      <c r="V52" s="92">
        <f>'Work with data'!B139</f>
        <v>7.6830373608915981E-3</v>
      </c>
      <c r="W52" s="11">
        <f>(1+V52)^(365/(Daten!$E$49-Daten!$E$17))-1</f>
        <v>6.1240068079338572E-2</v>
      </c>
      <c r="Y52" s="1"/>
    </row>
    <row r="53" spans="3:25" ht="13.5" customHeight="1" x14ac:dyDescent="0.45">
      <c r="C53" s="1"/>
      <c r="E53" s="25" t="s">
        <v>183</v>
      </c>
      <c r="F53" s="25" t="s">
        <v>184</v>
      </c>
      <c r="G53" s="2" t="s">
        <v>185</v>
      </c>
      <c r="H53" s="2" t="s">
        <v>186</v>
      </c>
      <c r="I53" s="26" t="s">
        <v>187</v>
      </c>
      <c r="J53" s="27">
        <v>5.13</v>
      </c>
      <c r="K53" s="28">
        <v>4.3799999999999999E-2</v>
      </c>
      <c r="L53" s="29" t="s">
        <v>68</v>
      </c>
      <c r="M53" s="28">
        <v>9.5999999999999992E-3</v>
      </c>
      <c r="N53" s="30">
        <v>3.1</v>
      </c>
      <c r="O53" s="27">
        <v>102.33</v>
      </c>
      <c r="P53" s="31" t="s">
        <v>32</v>
      </c>
      <c r="Q53" s="31" t="s">
        <v>182</v>
      </c>
      <c r="R53" s="31" t="s">
        <v>34</v>
      </c>
      <c r="S53" s="31" t="s">
        <v>36</v>
      </c>
      <c r="T53" s="31" t="s">
        <v>36</v>
      </c>
      <c r="U53" s="11">
        <v>0</v>
      </c>
      <c r="V53" s="92">
        <f>'Work with data'!B140</f>
        <v>6.1094254612219512E-3</v>
      </c>
      <c r="W53" s="11">
        <f>(1+V53)^(365/(Daten!$E$49-Daten!$E$17))-1</f>
        <v>4.8437743929590438E-2</v>
      </c>
      <c r="Y53" s="1"/>
    </row>
    <row r="54" spans="3:25" ht="13.5" customHeight="1" x14ac:dyDescent="0.45">
      <c r="C54" s="1"/>
      <c r="E54" s="25" t="s">
        <v>188</v>
      </c>
      <c r="F54" s="25" t="s">
        <v>189</v>
      </c>
      <c r="G54" s="2" t="s">
        <v>190</v>
      </c>
      <c r="H54" s="2" t="s">
        <v>29</v>
      </c>
      <c r="I54" s="26" t="s">
        <v>191</v>
      </c>
      <c r="J54" s="27">
        <v>4.3</v>
      </c>
      <c r="K54" s="28">
        <v>4.8599999999999997E-2</v>
      </c>
      <c r="L54" s="29" t="s">
        <v>79</v>
      </c>
      <c r="M54" s="28">
        <v>1.09E-2</v>
      </c>
      <c r="N54" s="30">
        <v>7.19</v>
      </c>
      <c r="O54" s="27">
        <v>96.08</v>
      </c>
      <c r="P54" s="31" t="s">
        <v>32</v>
      </c>
      <c r="Q54" s="31" t="s">
        <v>192</v>
      </c>
      <c r="R54" s="31" t="s">
        <v>34</v>
      </c>
      <c r="S54" s="31" t="s">
        <v>35</v>
      </c>
      <c r="T54" s="31" t="s">
        <v>36</v>
      </c>
      <c r="U54" s="11">
        <v>0.1</v>
      </c>
      <c r="V54" s="92">
        <f>'Work with data'!B141</f>
        <v>-1.344864896019704E-2</v>
      </c>
      <c r="W54" s="11">
        <f>(1+V54)^(365/(Daten!$E$49-Daten!$E$17))-1</f>
        <v>-9.9810782278888177E-2</v>
      </c>
      <c r="Y54" s="1"/>
    </row>
    <row r="55" spans="3:25" ht="13.5" customHeight="1" x14ac:dyDescent="0.45">
      <c r="C55" s="1"/>
      <c r="E55" s="25" t="s">
        <v>193</v>
      </c>
      <c r="F55" s="25" t="s">
        <v>194</v>
      </c>
      <c r="G55" s="2" t="s">
        <v>195</v>
      </c>
      <c r="H55" s="2" t="s">
        <v>196</v>
      </c>
      <c r="I55" s="26" t="s">
        <v>197</v>
      </c>
      <c r="J55" s="27">
        <v>6.88</v>
      </c>
      <c r="K55" s="28">
        <v>7.2599999999999998E-2</v>
      </c>
      <c r="L55" s="29" t="s">
        <v>91</v>
      </c>
      <c r="M55" s="28">
        <v>3.7999999999999999E-2</v>
      </c>
      <c r="N55" s="30">
        <v>2.02</v>
      </c>
      <c r="O55" s="27">
        <v>99.21</v>
      </c>
      <c r="P55" s="31" t="s">
        <v>32</v>
      </c>
      <c r="Q55" s="31" t="s">
        <v>50</v>
      </c>
      <c r="R55" s="31" t="s">
        <v>34</v>
      </c>
      <c r="S55" s="31" t="s">
        <v>36</v>
      </c>
      <c r="T55" s="31" t="s">
        <v>36</v>
      </c>
      <c r="U55" s="11">
        <v>0</v>
      </c>
      <c r="V55" s="92">
        <f>'Work with data'!B142</f>
        <v>9.6671491138666799E-3</v>
      </c>
      <c r="W55" s="11">
        <f>(1+V55)^(365/(Daten!$E$49-Daten!$E$17))-1</f>
        <v>7.7576040231418508E-2</v>
      </c>
      <c r="Y55" s="1"/>
    </row>
    <row r="56" spans="3:25" ht="13.5" customHeight="1" x14ac:dyDescent="0.45">
      <c r="C56" s="1"/>
      <c r="E56" s="25" t="s">
        <v>198</v>
      </c>
      <c r="F56" s="25" t="s">
        <v>199</v>
      </c>
      <c r="G56" s="2" t="s">
        <v>200</v>
      </c>
      <c r="H56" s="2" t="s">
        <v>171</v>
      </c>
      <c r="I56" s="26" t="s">
        <v>201</v>
      </c>
      <c r="J56" s="27">
        <v>6.95</v>
      </c>
      <c r="K56" s="28">
        <v>8.6199999999999999E-2</v>
      </c>
      <c r="L56" s="29" t="s">
        <v>79</v>
      </c>
      <c r="M56" s="28">
        <v>4.4400000000000002E-2</v>
      </c>
      <c r="N56" s="30">
        <v>11.15</v>
      </c>
      <c r="O56" s="27">
        <v>81.64</v>
      </c>
      <c r="P56" s="31" t="s">
        <v>32</v>
      </c>
      <c r="Q56" s="31" t="s">
        <v>182</v>
      </c>
      <c r="R56" s="31" t="s">
        <v>34</v>
      </c>
      <c r="S56" s="31" t="s">
        <v>35</v>
      </c>
      <c r="T56" s="31" t="s">
        <v>36</v>
      </c>
      <c r="U56" s="11">
        <v>0</v>
      </c>
      <c r="V56" s="92">
        <f>'Work with data'!B143</f>
        <v>6.1334884049633054E-3</v>
      </c>
      <c r="W56" s="11">
        <f>(1+V56)^(365/(Daten!$E$49-Daten!$E$17))-1</f>
        <v>4.8632493420407208E-2</v>
      </c>
      <c r="Y56" s="1"/>
    </row>
    <row r="57" spans="3:25" ht="13.5" customHeight="1" x14ac:dyDescent="0.45">
      <c r="C57" s="1"/>
      <c r="E57" s="25" t="s">
        <v>202</v>
      </c>
      <c r="F57" s="25" t="s">
        <v>203</v>
      </c>
      <c r="G57" s="2" t="s">
        <v>204</v>
      </c>
      <c r="H57" s="2" t="s">
        <v>205</v>
      </c>
      <c r="I57" s="26" t="s">
        <v>90</v>
      </c>
      <c r="J57" s="27">
        <v>6.38</v>
      </c>
      <c r="K57" s="28">
        <v>4.4199999999999899E-2</v>
      </c>
      <c r="L57" s="29" t="s">
        <v>74</v>
      </c>
      <c r="M57" s="28">
        <v>8.6E-3</v>
      </c>
      <c r="N57" s="30">
        <v>5.23</v>
      </c>
      <c r="O57" s="27">
        <v>110.911</v>
      </c>
      <c r="P57" s="31" t="s">
        <v>32</v>
      </c>
      <c r="Q57" s="31" t="s">
        <v>50</v>
      </c>
      <c r="R57" s="31" t="s">
        <v>34</v>
      </c>
      <c r="S57" s="31" t="s">
        <v>36</v>
      </c>
      <c r="T57" s="31" t="s">
        <v>36</v>
      </c>
      <c r="U57" s="11">
        <v>0</v>
      </c>
      <c r="V57" s="92">
        <f>'Work with data'!B144</f>
        <v>6.6751850970863114E-3</v>
      </c>
      <c r="W57" s="11">
        <f>(1+V57)^(365/(Daten!$E$49-Daten!$E$17))-1</f>
        <v>5.3024975603464419E-2</v>
      </c>
      <c r="Y57" s="1"/>
    </row>
    <row r="58" spans="3:25" ht="13.5" customHeight="1" x14ac:dyDescent="0.45">
      <c r="C58" s="1"/>
      <c r="E58" s="25" t="s">
        <v>206</v>
      </c>
      <c r="F58" s="25" t="s">
        <v>207</v>
      </c>
      <c r="G58" s="2" t="s">
        <v>208</v>
      </c>
      <c r="H58" s="2" t="s">
        <v>29</v>
      </c>
      <c r="I58" s="26" t="s">
        <v>209</v>
      </c>
      <c r="J58" s="27">
        <v>4.95</v>
      </c>
      <c r="K58" s="28">
        <v>5.0299999999999997E-2</v>
      </c>
      <c r="L58" s="29" t="s">
        <v>74</v>
      </c>
      <c r="M58" s="28">
        <v>1.24E-2</v>
      </c>
      <c r="N58" s="30">
        <v>7.34</v>
      </c>
      <c r="O58" s="27">
        <v>99.44</v>
      </c>
      <c r="P58" s="31" t="s">
        <v>32</v>
      </c>
      <c r="Q58" s="31" t="s">
        <v>182</v>
      </c>
      <c r="R58" s="31" t="s">
        <v>34</v>
      </c>
      <c r="S58" s="31" t="s">
        <v>35</v>
      </c>
      <c r="T58" s="31" t="s">
        <v>36</v>
      </c>
      <c r="U58" s="11">
        <v>0</v>
      </c>
      <c r="V58" s="92">
        <f>'Work with data'!B145</f>
        <v>3.2586291473273299E-3</v>
      </c>
      <c r="W58" s="11">
        <f>(1+V58)^(365/(Daten!$E$49-Daten!$E$17))-1</f>
        <v>2.5587103589462812E-2</v>
      </c>
      <c r="Y58" s="1"/>
    </row>
    <row r="59" spans="3:25" ht="13.5" customHeight="1" x14ac:dyDescent="0.45">
      <c r="C59" s="1"/>
      <c r="E59" s="25" t="s">
        <v>210</v>
      </c>
      <c r="F59" s="25" t="s">
        <v>211</v>
      </c>
      <c r="G59" s="2" t="s">
        <v>212</v>
      </c>
      <c r="H59" s="2" t="s">
        <v>213</v>
      </c>
      <c r="I59" s="26" t="s">
        <v>214</v>
      </c>
      <c r="J59" s="27">
        <v>5</v>
      </c>
      <c r="K59" s="28">
        <v>4.48E-2</v>
      </c>
      <c r="L59" s="29" t="s">
        <v>42</v>
      </c>
      <c r="M59" s="28">
        <v>8.0999999999999996E-3</v>
      </c>
      <c r="N59" s="30">
        <v>6.24</v>
      </c>
      <c r="O59" s="27">
        <v>103.32</v>
      </c>
      <c r="P59" s="31" t="s">
        <v>32</v>
      </c>
      <c r="Q59" s="31" t="s">
        <v>43</v>
      </c>
      <c r="R59" s="31" t="s">
        <v>34</v>
      </c>
      <c r="S59" s="31" t="s">
        <v>36</v>
      </c>
      <c r="T59" s="31" t="s">
        <v>36</v>
      </c>
      <c r="U59" s="11">
        <v>0.1</v>
      </c>
      <c r="V59" s="92">
        <f>'Work with data'!B146</f>
        <v>3.3523638041605963E-3</v>
      </c>
      <c r="W59" s="11">
        <f>(1+V59)^(365/(Daten!$E$49-Daten!$E$17))-1</f>
        <v>2.6331479172493122E-2</v>
      </c>
      <c r="Y59" s="1"/>
    </row>
    <row r="60" spans="3:25" ht="13.5" customHeight="1" x14ac:dyDescent="0.45">
      <c r="C60" s="1"/>
      <c r="E60" s="25" t="s">
        <v>215</v>
      </c>
      <c r="F60" s="25" t="s">
        <v>216</v>
      </c>
      <c r="G60" s="2" t="s">
        <v>217</v>
      </c>
      <c r="H60" s="2" t="s">
        <v>218</v>
      </c>
      <c r="I60" s="26" t="s">
        <v>219</v>
      </c>
      <c r="J60" s="27">
        <v>2.25</v>
      </c>
      <c r="K60" s="28">
        <v>4.3400000000000001E-2</v>
      </c>
      <c r="L60" s="29" t="s">
        <v>220</v>
      </c>
      <c r="M60" s="28">
        <v>8.2000000000000007E-3</v>
      </c>
      <c r="N60" s="30">
        <v>4.8</v>
      </c>
      <c r="O60" s="27">
        <v>90.33</v>
      </c>
      <c r="P60" s="31" t="s">
        <v>32</v>
      </c>
      <c r="Q60" s="31" t="s">
        <v>182</v>
      </c>
      <c r="R60" s="31" t="s">
        <v>34</v>
      </c>
      <c r="S60" s="31" t="s">
        <v>35</v>
      </c>
      <c r="T60" s="31" t="s">
        <v>36</v>
      </c>
      <c r="U60" s="11">
        <v>0</v>
      </c>
      <c r="V60" s="92">
        <f>'Work with data'!B147</f>
        <v>1.5653821406467205E-3</v>
      </c>
      <c r="W60" s="11">
        <f>(1+V60)^(365/(Daten!$E$49-Daten!$E$17))-1</f>
        <v>1.2221262778808972E-2</v>
      </c>
      <c r="Y60" s="1"/>
    </row>
    <row r="61" spans="3:25" ht="13.5" customHeight="1" x14ac:dyDescent="0.45">
      <c r="C61" s="1"/>
      <c r="E61" s="25" t="s">
        <v>221</v>
      </c>
      <c r="F61" s="25" t="s">
        <v>222</v>
      </c>
      <c r="G61" s="2" t="s">
        <v>223</v>
      </c>
      <c r="H61" s="2" t="s">
        <v>224</v>
      </c>
      <c r="I61" s="26" t="s">
        <v>225</v>
      </c>
      <c r="J61" s="27">
        <v>6.25</v>
      </c>
      <c r="K61" s="28">
        <v>0.1206</v>
      </c>
      <c r="L61" s="29" t="s">
        <v>49</v>
      </c>
      <c r="M61" s="28">
        <v>8.5300000000000001E-2</v>
      </c>
      <c r="N61" s="30">
        <v>4.91</v>
      </c>
      <c r="O61" s="27">
        <v>73.849999999999994</v>
      </c>
      <c r="P61" s="31" t="s">
        <v>32</v>
      </c>
      <c r="Q61" s="31" t="s">
        <v>50</v>
      </c>
      <c r="R61" s="31" t="s">
        <v>34</v>
      </c>
      <c r="S61" s="31" t="s">
        <v>36</v>
      </c>
      <c r="T61" s="31" t="s">
        <v>36</v>
      </c>
      <c r="U61" s="11">
        <v>0</v>
      </c>
      <c r="V61" s="92">
        <f>'Work with data'!B148</f>
        <v>-5.5197151630319352E-2</v>
      </c>
      <c r="W61" s="11">
        <f>(1+V61)^(365/(Daten!$E$49-Daten!$E$17))-1</f>
        <v>-0.35657080724784274</v>
      </c>
      <c r="Y61" s="1"/>
    </row>
    <row r="62" spans="3:25" ht="13.5" customHeight="1" x14ac:dyDescent="0.45">
      <c r="C62" s="1"/>
      <c r="E62" s="25" t="s">
        <v>226</v>
      </c>
      <c r="F62" s="25" t="s">
        <v>227</v>
      </c>
      <c r="G62" s="2" t="s">
        <v>228</v>
      </c>
      <c r="H62" s="2" t="s">
        <v>229</v>
      </c>
      <c r="I62" s="26" t="s">
        <v>230</v>
      </c>
      <c r="J62" s="27">
        <v>5.88</v>
      </c>
      <c r="K62" s="28">
        <v>5.8799999999999998E-2</v>
      </c>
      <c r="L62" s="29" t="s">
        <v>231</v>
      </c>
      <c r="M62" s="28">
        <v>2.3099999999999999E-2</v>
      </c>
      <c r="N62" s="30">
        <v>5.31</v>
      </c>
      <c r="O62" s="27">
        <v>99.95</v>
      </c>
      <c r="P62" s="31" t="s">
        <v>32</v>
      </c>
      <c r="Q62" s="31" t="s">
        <v>50</v>
      </c>
      <c r="R62" s="31" t="s">
        <v>34</v>
      </c>
      <c r="S62" s="31" t="s">
        <v>36</v>
      </c>
      <c r="T62" s="31" t="s">
        <v>36</v>
      </c>
      <c r="U62" s="11">
        <v>0</v>
      </c>
      <c r="V62" s="92">
        <f>'Work with data'!B149</f>
        <v>1.3392691475645702E-2</v>
      </c>
      <c r="W62" s="11">
        <f>(1+V62)^(365/(Daten!$E$49-Daten!$E$17))-1</f>
        <v>0.10884259194722823</v>
      </c>
      <c r="Y62" s="1"/>
    </row>
    <row r="63" spans="3:25" ht="13.5" customHeight="1" x14ac:dyDescent="0.45">
      <c r="C63" s="1"/>
      <c r="E63" s="25" t="s">
        <v>232</v>
      </c>
      <c r="F63" s="25" t="s">
        <v>233</v>
      </c>
      <c r="G63" s="2" t="s">
        <v>234</v>
      </c>
      <c r="H63" s="2" t="s">
        <v>235</v>
      </c>
      <c r="I63" s="26" t="s">
        <v>236</v>
      </c>
      <c r="J63" s="27">
        <v>7.02</v>
      </c>
      <c r="K63" s="28">
        <v>4.3799999999999999E-2</v>
      </c>
      <c r="L63" s="29" t="s">
        <v>74</v>
      </c>
      <c r="M63" s="28">
        <v>1.26E-2</v>
      </c>
      <c r="N63" s="30">
        <v>3.03</v>
      </c>
      <c r="O63" s="27">
        <v>108.3</v>
      </c>
      <c r="P63" s="31" t="s">
        <v>32</v>
      </c>
      <c r="Q63" s="31" t="s">
        <v>43</v>
      </c>
      <c r="R63" s="31" t="s">
        <v>34</v>
      </c>
      <c r="S63" s="31" t="s">
        <v>35</v>
      </c>
      <c r="T63" s="31" t="s">
        <v>36</v>
      </c>
      <c r="U63" s="11">
        <v>0</v>
      </c>
      <c r="V63" s="92">
        <f>'Work with data'!B150</f>
        <v>7.5169095873315328E-3</v>
      </c>
      <c r="W63" s="11">
        <f>(1+V63)^(365/(Daten!$E$49-Daten!$E$17))-1</f>
        <v>5.988211508908492E-2</v>
      </c>
      <c r="Y63" s="1"/>
    </row>
    <row r="64" spans="3:25" ht="13.5" customHeight="1" x14ac:dyDescent="0.45">
      <c r="C64" s="1"/>
      <c r="E64" s="25" t="s">
        <v>237</v>
      </c>
      <c r="F64" s="25" t="s">
        <v>238</v>
      </c>
      <c r="G64" s="2" t="s">
        <v>239</v>
      </c>
      <c r="H64" s="2" t="s">
        <v>54</v>
      </c>
      <c r="I64" s="26" t="s">
        <v>240</v>
      </c>
      <c r="J64" s="27">
        <v>3.6</v>
      </c>
      <c r="K64" s="28">
        <v>4.0099999999999997E-2</v>
      </c>
      <c r="L64" s="29" t="s">
        <v>220</v>
      </c>
      <c r="M64" s="28">
        <v>5.5999999999999999E-3</v>
      </c>
      <c r="N64" s="30">
        <v>2.2400000000000002</v>
      </c>
      <c r="O64" s="27">
        <v>99.08</v>
      </c>
      <c r="P64" s="31" t="s">
        <v>32</v>
      </c>
      <c r="Q64" s="31" t="s">
        <v>192</v>
      </c>
      <c r="R64" s="31" t="s">
        <v>34</v>
      </c>
      <c r="S64" s="31" t="s">
        <v>35</v>
      </c>
      <c r="T64" s="31" t="s">
        <v>36</v>
      </c>
      <c r="U64" s="11">
        <v>0</v>
      </c>
      <c r="V64" s="92">
        <f>'Work with data'!B151</f>
        <v>4.9230322231303969E-3</v>
      </c>
      <c r="W64" s="11">
        <f>(1+V64)^(365/(Daten!$E$49-Daten!$E$17))-1</f>
        <v>3.8874855352966975E-2</v>
      </c>
      <c r="Y64" s="1"/>
    </row>
    <row r="65" spans="3:25" ht="13.5" customHeight="1" x14ac:dyDescent="0.45">
      <c r="C65" s="1"/>
      <c r="E65" s="25" t="s">
        <v>241</v>
      </c>
      <c r="F65" s="25" t="s">
        <v>242</v>
      </c>
      <c r="G65" s="2" t="s">
        <v>243</v>
      </c>
      <c r="H65" s="2" t="s">
        <v>29</v>
      </c>
      <c r="I65" s="26" t="s">
        <v>244</v>
      </c>
      <c r="J65" s="27">
        <v>4.25</v>
      </c>
      <c r="K65" s="28">
        <v>4.07E-2</v>
      </c>
      <c r="L65" s="29" t="s">
        <v>31</v>
      </c>
      <c r="M65" s="28">
        <v>2.3E-3</v>
      </c>
      <c r="N65" s="30">
        <v>7.8</v>
      </c>
      <c r="O65" s="27">
        <v>100.85899999999999</v>
      </c>
      <c r="P65" s="31" t="s">
        <v>32</v>
      </c>
      <c r="Q65" s="31" t="s">
        <v>50</v>
      </c>
      <c r="R65" s="31" t="s">
        <v>245</v>
      </c>
      <c r="S65" s="31" t="s">
        <v>36</v>
      </c>
      <c r="T65" s="31" t="s">
        <v>36</v>
      </c>
      <c r="U65" s="11">
        <v>0.1</v>
      </c>
      <c r="V65" s="92">
        <f>'Work with data'!B152</f>
        <v>5.9082414896565183E-3</v>
      </c>
      <c r="W65" s="11">
        <f>(1+V65)^(365/(Daten!$E$49-Daten!$E$17))-1</f>
        <v>4.6810727117491124E-2</v>
      </c>
      <c r="X65" s="8"/>
      <c r="Y65" s="1"/>
    </row>
    <row r="66" spans="3:25" ht="13.5" customHeight="1" x14ac:dyDescent="0.45">
      <c r="C66" s="1"/>
      <c r="E66" s="25" t="s">
        <v>246</v>
      </c>
      <c r="F66" s="25" t="s">
        <v>242</v>
      </c>
      <c r="G66" s="2" t="s">
        <v>243</v>
      </c>
      <c r="H66" s="2" t="s">
        <v>29</v>
      </c>
      <c r="I66" s="26" t="s">
        <v>247</v>
      </c>
      <c r="J66" s="27">
        <v>3.88</v>
      </c>
      <c r="K66" s="28">
        <v>0.04</v>
      </c>
      <c r="L66" s="29" t="s">
        <v>31</v>
      </c>
      <c r="M66" s="28">
        <v>2E-3</v>
      </c>
      <c r="N66" s="30">
        <v>7.47</v>
      </c>
      <c r="O66" s="27">
        <v>98.588999999999999</v>
      </c>
      <c r="P66" s="31" t="s">
        <v>32</v>
      </c>
      <c r="Q66" s="31" t="s">
        <v>50</v>
      </c>
      <c r="R66" s="31" t="s">
        <v>245</v>
      </c>
      <c r="S66" s="31" t="s">
        <v>36</v>
      </c>
      <c r="T66" s="31" t="s">
        <v>36</v>
      </c>
      <c r="U66" s="11">
        <v>0.1</v>
      </c>
      <c r="V66" s="92">
        <f>'Work with data'!B153</f>
        <v>5.6360442522385146E-3</v>
      </c>
      <c r="W66" s="11">
        <f>(1+V66)^(365/(Daten!$E$49-Daten!$E$17))-1</f>
        <v>4.4612912908553515E-2</v>
      </c>
      <c r="X66" s="8"/>
      <c r="Y66" s="1"/>
    </row>
    <row r="67" spans="3:25" ht="13.5" customHeight="1" x14ac:dyDescent="0.45">
      <c r="C67" s="1"/>
      <c r="E67" s="25" t="s">
        <v>248</v>
      </c>
      <c r="F67" s="25" t="s">
        <v>242</v>
      </c>
      <c r="G67" s="2" t="s">
        <v>243</v>
      </c>
      <c r="H67" s="2" t="s">
        <v>29</v>
      </c>
      <c r="I67" s="26" t="s">
        <v>249</v>
      </c>
      <c r="J67" s="27">
        <v>3.88</v>
      </c>
      <c r="K67" s="28">
        <v>3.9E-2</v>
      </c>
      <c r="L67" s="29" t="s">
        <v>31</v>
      </c>
      <c r="M67" s="28">
        <v>1.6999999999999999E-3</v>
      </c>
      <c r="N67" s="30">
        <v>6.76</v>
      </c>
      <c r="O67" s="27">
        <v>99.495000000000005</v>
      </c>
      <c r="P67" s="31" t="s">
        <v>32</v>
      </c>
      <c r="Q67" s="31" t="s">
        <v>50</v>
      </c>
      <c r="R67" s="31" t="s">
        <v>245</v>
      </c>
      <c r="S67" s="31" t="s">
        <v>36</v>
      </c>
      <c r="T67" s="31" t="s">
        <v>36</v>
      </c>
      <c r="U67" s="11">
        <v>0</v>
      </c>
      <c r="V67" s="92">
        <f>'Work with data'!B154</f>
        <v>5.5815536570622548E-3</v>
      </c>
      <c r="W67" s="11">
        <f>(1+V67)^(365/(Daten!$E$49-Daten!$E$17))-1</f>
        <v>4.4173420367599858E-2</v>
      </c>
      <c r="X67" s="8"/>
      <c r="Y67" s="1"/>
    </row>
    <row r="68" spans="3:25" ht="13.5" customHeight="1" x14ac:dyDescent="0.45">
      <c r="C68" s="1"/>
      <c r="E68" s="25" t="s">
        <v>250</v>
      </c>
      <c r="F68" s="25" t="s">
        <v>242</v>
      </c>
      <c r="G68" s="2" t="s">
        <v>243</v>
      </c>
      <c r="H68" s="2" t="s">
        <v>29</v>
      </c>
      <c r="I68" s="26" t="s">
        <v>251</v>
      </c>
      <c r="J68" s="27">
        <v>1.25</v>
      </c>
      <c r="K68" s="28">
        <v>3.7100000000000001E-2</v>
      </c>
      <c r="L68" s="29" t="s">
        <v>31</v>
      </c>
      <c r="M68" s="28">
        <v>1.1000000000000001E-3</v>
      </c>
      <c r="N68" s="30">
        <v>5.62</v>
      </c>
      <c r="O68" s="27">
        <v>86.826999999999998</v>
      </c>
      <c r="P68" s="31" t="s">
        <v>32</v>
      </c>
      <c r="Q68" s="31" t="s">
        <v>50</v>
      </c>
      <c r="R68" s="31" t="s">
        <v>245</v>
      </c>
      <c r="S68" s="31" t="s">
        <v>36</v>
      </c>
      <c r="T68" s="31" t="s">
        <v>36</v>
      </c>
      <c r="U68" s="11">
        <v>0</v>
      </c>
      <c r="V68" s="92">
        <f>'Work with data'!B155</f>
        <v>4.1164160776767655E-3</v>
      </c>
      <c r="W68" s="11">
        <f>(1+V68)^(365/(Daten!$E$49-Daten!$E$17))-1</f>
        <v>3.2416628613721077E-2</v>
      </c>
      <c r="X68" s="8"/>
      <c r="Y68" s="1"/>
    </row>
    <row r="69" spans="3:25" ht="13.5" customHeight="1" x14ac:dyDescent="0.45">
      <c r="C69" s="1"/>
      <c r="E69" s="25" t="s">
        <v>252</v>
      </c>
      <c r="F69" s="25" t="s">
        <v>242</v>
      </c>
      <c r="G69" s="2" t="s">
        <v>243</v>
      </c>
      <c r="H69" s="2" t="s">
        <v>29</v>
      </c>
      <c r="I69" s="26" t="s">
        <v>253</v>
      </c>
      <c r="J69" s="27">
        <v>4.25</v>
      </c>
      <c r="K69" s="28">
        <v>3.5400000000000001E-2</v>
      </c>
      <c r="L69" s="29" t="s">
        <v>31</v>
      </c>
      <c r="M69" s="28">
        <v>8.9999999999999998E-4</v>
      </c>
      <c r="N69" s="30">
        <v>3.48</v>
      </c>
      <c r="O69" s="27">
        <v>102.352</v>
      </c>
      <c r="P69" s="31" t="s">
        <v>32</v>
      </c>
      <c r="Q69" s="31" t="s">
        <v>50</v>
      </c>
      <c r="R69" s="31" t="s">
        <v>245</v>
      </c>
      <c r="S69" s="31" t="s">
        <v>36</v>
      </c>
      <c r="T69" s="31" t="s">
        <v>36</v>
      </c>
      <c r="U69" s="11">
        <v>0</v>
      </c>
      <c r="V69" s="92">
        <f>'Work with data'!B156</f>
        <v>5.0362868285867002E-3</v>
      </c>
      <c r="W69" s="11">
        <f>(1+V69)^(365/(Daten!$E$49-Daten!$E$17))-1</f>
        <v>3.9784447907054599E-2</v>
      </c>
      <c r="X69" s="8"/>
      <c r="Y69" s="1"/>
    </row>
    <row r="70" spans="3:25" ht="13.5" customHeight="1" x14ac:dyDescent="0.45">
      <c r="C70" s="1"/>
      <c r="E70" s="25" t="s">
        <v>254</v>
      </c>
      <c r="F70" s="25" t="s">
        <v>242</v>
      </c>
      <c r="G70" s="2" t="s">
        <v>243</v>
      </c>
      <c r="H70" s="2" t="s">
        <v>29</v>
      </c>
      <c r="I70" s="26" t="s">
        <v>255</v>
      </c>
      <c r="J70" s="27">
        <v>4.88</v>
      </c>
      <c r="K70" s="28">
        <v>3.5099999999999999E-2</v>
      </c>
      <c r="L70" s="29" t="s">
        <v>31</v>
      </c>
      <c r="M70" s="28">
        <v>8.9999999999999998E-4</v>
      </c>
      <c r="N70" s="30">
        <v>2.87</v>
      </c>
      <c r="O70" s="27">
        <v>103.902</v>
      </c>
      <c r="P70" s="31" t="s">
        <v>32</v>
      </c>
      <c r="Q70" s="31" t="s">
        <v>50</v>
      </c>
      <c r="R70" s="31" t="s">
        <v>245</v>
      </c>
      <c r="S70" s="31" t="s">
        <v>36</v>
      </c>
      <c r="T70" s="31" t="s">
        <v>36</v>
      </c>
      <c r="U70" s="11">
        <v>0</v>
      </c>
      <c r="V70" s="92">
        <f>'Work with data'!B157</f>
        <v>6.1615376952215417E-3</v>
      </c>
      <c r="W70" s="11">
        <f>(1+V70)^(365/(Daten!$E$49-Daten!$E$17))-1</f>
        <v>4.8859545533916693E-2</v>
      </c>
      <c r="X70" s="8"/>
      <c r="Y70" s="1"/>
    </row>
    <row r="71" spans="3:25" ht="13.5" customHeight="1" x14ac:dyDescent="0.45">
      <c r="C71" s="1"/>
      <c r="E71" s="25" t="s">
        <v>256</v>
      </c>
      <c r="F71" s="25" t="s">
        <v>242</v>
      </c>
      <c r="G71" s="2" t="s">
        <v>243</v>
      </c>
      <c r="H71" s="2" t="s">
        <v>29</v>
      </c>
      <c r="I71" s="26" t="s">
        <v>257</v>
      </c>
      <c r="J71" s="27">
        <v>2.88</v>
      </c>
      <c r="K71" s="28">
        <v>3.5000000000000003E-2</v>
      </c>
      <c r="L71" s="29" t="s">
        <v>31</v>
      </c>
      <c r="M71" s="28">
        <v>6.9999999999999999E-4</v>
      </c>
      <c r="N71" s="30">
        <v>2.79</v>
      </c>
      <c r="O71" s="27">
        <v>98.162999999999997</v>
      </c>
      <c r="P71" s="31" t="s">
        <v>32</v>
      </c>
      <c r="Q71" s="31" t="s">
        <v>50</v>
      </c>
      <c r="R71" s="31" t="s">
        <v>245</v>
      </c>
      <c r="S71" s="31" t="s">
        <v>36</v>
      </c>
      <c r="T71" s="31" t="s">
        <v>36</v>
      </c>
      <c r="U71" s="11">
        <v>0</v>
      </c>
      <c r="V71" s="92">
        <f>'Work with data'!B158</f>
        <v>3.9038730355509532E-3</v>
      </c>
      <c r="W71" s="11">
        <f>(1+V71)^(365/(Daten!$E$49-Daten!$E$17))-1</f>
        <v>3.0720722336715411E-2</v>
      </c>
      <c r="X71" s="8"/>
      <c r="Y71" s="1"/>
    </row>
    <row r="72" spans="3:25" ht="13.5" customHeight="1" x14ac:dyDescent="0.45">
      <c r="C72" s="1"/>
      <c r="E72" s="25" t="s">
        <v>258</v>
      </c>
      <c r="F72" s="25" t="s">
        <v>259</v>
      </c>
      <c r="G72" s="2" t="s">
        <v>260</v>
      </c>
      <c r="H72" s="2" t="s">
        <v>29</v>
      </c>
      <c r="I72" s="26" t="s">
        <v>261</v>
      </c>
      <c r="J72" s="27">
        <v>4.8</v>
      </c>
      <c r="K72" s="28">
        <v>4.7899999999999998E-2</v>
      </c>
      <c r="L72" s="29" t="s">
        <v>79</v>
      </c>
      <c r="M72" s="28">
        <v>1.03E-2</v>
      </c>
      <c r="N72" s="30">
        <v>7.1</v>
      </c>
      <c r="O72" s="27">
        <v>100.09</v>
      </c>
      <c r="P72" s="31" t="s">
        <v>32</v>
      </c>
      <c r="Q72" s="31" t="s">
        <v>262</v>
      </c>
      <c r="R72" s="31" t="s">
        <v>34</v>
      </c>
      <c r="S72" s="31" t="s">
        <v>35</v>
      </c>
      <c r="T72" s="31" t="s">
        <v>36</v>
      </c>
      <c r="U72" s="11">
        <v>0</v>
      </c>
      <c r="V72" s="92">
        <f>'Work with data'!B159</f>
        <v>1.7403776386086811E-3</v>
      </c>
      <c r="W72" s="11">
        <f>(1+V72)^(365/(Daten!$E$49-Daten!$E$17))-1</f>
        <v>1.3595541260763122E-2</v>
      </c>
      <c r="X72" s="8"/>
      <c r="Y72" s="1"/>
    </row>
    <row r="73" spans="3:25" ht="13.5" customHeight="1" x14ac:dyDescent="0.45">
      <c r="C73" s="1"/>
      <c r="E73" s="33" t="s">
        <v>263</v>
      </c>
      <c r="F73" s="33" t="s">
        <v>264</v>
      </c>
      <c r="G73" s="34" t="s">
        <v>265</v>
      </c>
      <c r="H73" s="34" t="s">
        <v>40</v>
      </c>
      <c r="I73" s="35" t="s">
        <v>266</v>
      </c>
      <c r="J73" s="36">
        <v>4.04</v>
      </c>
      <c r="K73" s="37">
        <v>3.7599999999999897E-2</v>
      </c>
      <c r="L73" s="38" t="s">
        <v>42</v>
      </c>
      <c r="M73" s="37">
        <v>3.0000000000000001E-3</v>
      </c>
      <c r="N73" s="39">
        <v>1.88</v>
      </c>
      <c r="O73" s="36">
        <v>100.54</v>
      </c>
      <c r="P73" s="40" t="s">
        <v>32</v>
      </c>
      <c r="Q73" s="40" t="s">
        <v>43</v>
      </c>
      <c r="R73" s="40" t="s">
        <v>34</v>
      </c>
      <c r="S73" s="40" t="s">
        <v>36</v>
      </c>
      <c r="T73" s="40" t="s">
        <v>36</v>
      </c>
      <c r="U73" s="12">
        <v>0</v>
      </c>
      <c r="V73" s="92">
        <f>'Work with data'!B160</f>
        <v>4.4004886860804504E-3</v>
      </c>
      <c r="W73" s="11">
        <f>(1+V73)^(365/(Daten!$E$49-Daten!$E$17))-1</f>
        <v>3.4687073516500799E-2</v>
      </c>
      <c r="X73" s="8"/>
      <c r="Y73" s="1"/>
    </row>
    <row r="74" spans="3:25" x14ac:dyDescent="0.45">
      <c r="C74" s="1"/>
      <c r="V74" s="13"/>
      <c r="X74" s="8"/>
      <c r="Y74" s="1"/>
    </row>
    <row r="75" spans="3:25" x14ac:dyDescent="0.45">
      <c r="C75" s="1"/>
      <c r="V75" s="13"/>
      <c r="X75" s="8"/>
      <c r="Y75" s="1"/>
    </row>
    <row r="76" spans="3:25" ht="15.75" x14ac:dyDescent="0.5">
      <c r="C76" s="1"/>
      <c r="E76" s="43" t="s">
        <v>267</v>
      </c>
      <c r="F76" s="44"/>
      <c r="G76" s="44"/>
      <c r="H76" s="44"/>
      <c r="I76" s="44"/>
      <c r="J76" s="44"/>
      <c r="K76" s="44"/>
      <c r="L76" s="44"/>
      <c r="M76" s="44"/>
      <c r="N76" s="44"/>
      <c r="O76" s="44"/>
      <c r="P76" s="44"/>
      <c r="Q76" s="44"/>
      <c r="R76" s="44"/>
      <c r="S76" s="44"/>
      <c r="T76" s="44"/>
      <c r="U76" s="44"/>
      <c r="V76" s="44"/>
      <c r="W76" s="44"/>
      <c r="X76" s="8"/>
      <c r="Y76" s="1"/>
    </row>
    <row r="77" spans="3:25" ht="15" customHeight="1" x14ac:dyDescent="0.45">
      <c r="C77" s="1"/>
      <c r="E77" s="150" t="s">
        <v>268</v>
      </c>
      <c r="F77" s="150"/>
      <c r="G77" s="150"/>
      <c r="H77" s="150"/>
      <c r="I77" s="150"/>
      <c r="J77" s="150"/>
      <c r="K77" s="150"/>
      <c r="L77" s="150"/>
      <c r="M77" s="150"/>
      <c r="N77" s="150"/>
      <c r="O77" s="150"/>
      <c r="P77" s="150"/>
      <c r="Q77" s="150"/>
      <c r="R77" s="150"/>
      <c r="S77" s="150"/>
      <c r="T77" s="150"/>
      <c r="U77" s="150"/>
      <c r="V77" s="150"/>
      <c r="W77" s="150"/>
      <c r="X77" s="8"/>
      <c r="Y77" s="1"/>
    </row>
    <row r="78" spans="3:25" ht="15.75" x14ac:dyDescent="0.45">
      <c r="C78" s="1"/>
      <c r="E78" s="45"/>
      <c r="F78" s="45"/>
      <c r="G78" s="45"/>
      <c r="H78" s="45"/>
      <c r="I78" s="45"/>
      <c r="J78" s="45"/>
      <c r="K78" s="45"/>
      <c r="L78" s="45"/>
      <c r="M78" s="45"/>
      <c r="N78" s="45"/>
      <c r="O78" s="45"/>
      <c r="P78" s="45"/>
      <c r="Q78" s="45"/>
      <c r="R78" s="45"/>
      <c r="S78" s="45"/>
      <c r="T78" s="45"/>
      <c r="U78" s="45"/>
      <c r="V78" s="45"/>
      <c r="W78" s="45"/>
      <c r="X78" s="8"/>
      <c r="Y78" s="1"/>
    </row>
    <row r="79" spans="3:25" ht="15.75" x14ac:dyDescent="0.45">
      <c r="C79" s="1"/>
      <c r="E79" s="45"/>
      <c r="F79" s="46" t="s">
        <v>269</v>
      </c>
      <c r="G79" s="46"/>
      <c r="H79" s="146" t="s">
        <v>270</v>
      </c>
      <c r="I79" s="146"/>
      <c r="J79" s="146"/>
      <c r="K79" s="45"/>
      <c r="L79" s="146" t="s">
        <v>271</v>
      </c>
      <c r="M79" s="146"/>
      <c r="N79" s="146"/>
      <c r="O79" s="45"/>
      <c r="P79" s="45"/>
      <c r="Q79" s="45"/>
      <c r="R79" s="45"/>
      <c r="S79" s="45"/>
      <c r="T79" s="45"/>
      <c r="U79" s="45"/>
      <c r="V79" s="45"/>
      <c r="W79" s="45"/>
      <c r="X79" s="8"/>
      <c r="Y79" s="1"/>
    </row>
    <row r="80" spans="3:25" ht="6.75" customHeight="1" x14ac:dyDescent="0.5">
      <c r="C80" s="1"/>
      <c r="E80" s="44"/>
      <c r="F80" s="45"/>
      <c r="G80" s="45"/>
      <c r="H80" s="45"/>
      <c r="I80" s="45"/>
      <c r="J80" s="45"/>
      <c r="K80" s="45"/>
      <c r="L80" s="45"/>
      <c r="M80" s="45"/>
      <c r="N80" s="45"/>
      <c r="O80" s="45"/>
      <c r="P80" s="45"/>
      <c r="Q80" s="45"/>
      <c r="R80" s="45"/>
      <c r="S80" s="45"/>
      <c r="T80" s="45"/>
      <c r="U80" s="45"/>
      <c r="V80" s="45"/>
      <c r="W80" s="45"/>
      <c r="X80" s="8"/>
      <c r="Y80" s="1"/>
    </row>
    <row r="81" spans="3:25" ht="15.75" x14ac:dyDescent="0.45">
      <c r="C81" s="1"/>
      <c r="E81" s="45" t="s">
        <v>272</v>
      </c>
      <c r="F81" s="84">
        <v>10</v>
      </c>
      <c r="G81" s="45"/>
      <c r="H81" s="143">
        <f>COUNTA(Daten!F16:BC16)</f>
        <v>50</v>
      </c>
      <c r="I81" s="144"/>
      <c r="J81" s="145"/>
      <c r="K81" s="45"/>
      <c r="L81" s="156">
        <f>F81/H81</f>
        <v>0.2</v>
      </c>
      <c r="M81" s="157"/>
      <c r="N81" s="158"/>
      <c r="O81" s="45"/>
      <c r="P81" s="45"/>
      <c r="Q81" s="45"/>
      <c r="R81" s="45"/>
      <c r="S81" s="45"/>
      <c r="T81" s="45"/>
      <c r="U81" s="45"/>
      <c r="V81" s="45"/>
      <c r="W81" s="45"/>
      <c r="X81" s="8"/>
      <c r="Y81" s="1"/>
    </row>
    <row r="82" spans="3:25" ht="9.75" customHeight="1" x14ac:dyDescent="0.45">
      <c r="C82" s="1"/>
      <c r="E82" s="41"/>
      <c r="F82" s="41"/>
      <c r="G82" s="41"/>
      <c r="H82" s="41"/>
      <c r="I82" s="41"/>
      <c r="J82" s="41"/>
      <c r="K82" s="41"/>
      <c r="L82" s="41"/>
      <c r="M82" s="41"/>
      <c r="N82" s="41"/>
      <c r="O82" s="41"/>
      <c r="P82" s="41"/>
      <c r="Q82" s="41"/>
      <c r="R82" s="41"/>
      <c r="S82" s="41"/>
      <c r="T82" s="41"/>
      <c r="U82" s="41"/>
      <c r="V82" s="41"/>
      <c r="W82" s="41"/>
      <c r="X82" s="8"/>
      <c r="Y82" s="1"/>
    </row>
    <row r="83" spans="3:25" ht="15.75" x14ac:dyDescent="0.5">
      <c r="C83" s="1"/>
      <c r="E83" s="48" t="s">
        <v>273</v>
      </c>
      <c r="F83" s="47">
        <f>AVERAGE(J25,J27,J30,J36,J47,J49,J54,J59,J65,J66)/100</f>
        <v>4.6539999999999998E-2</v>
      </c>
      <c r="G83" s="45"/>
      <c r="H83" s="140">
        <f>AVERAGE(J24:J73)/100</f>
        <v>4.8236000000000001E-2</v>
      </c>
      <c r="I83" s="141"/>
      <c r="J83" s="142"/>
      <c r="K83" s="41"/>
      <c r="L83" s="152">
        <f>F83/H83</f>
        <v>0.96483953893357655</v>
      </c>
      <c r="M83" s="153"/>
      <c r="N83" s="154"/>
      <c r="O83" s="41"/>
      <c r="P83" s="41"/>
      <c r="Q83" s="41"/>
      <c r="R83" s="41"/>
      <c r="S83" s="41"/>
      <c r="T83" s="41"/>
      <c r="U83" s="41"/>
      <c r="V83" s="41"/>
      <c r="W83" s="41"/>
      <c r="X83" s="8"/>
      <c r="Y83" s="1"/>
    </row>
    <row r="84" spans="3:25" ht="9.75" customHeight="1" x14ac:dyDescent="0.5">
      <c r="C84" s="1"/>
      <c r="E84" s="48"/>
      <c r="F84" s="49"/>
      <c r="G84" s="45"/>
      <c r="H84" s="49"/>
      <c r="I84" s="49"/>
      <c r="J84" s="49"/>
      <c r="K84" s="41"/>
      <c r="L84" s="41"/>
      <c r="M84" s="41"/>
      <c r="N84" s="41"/>
      <c r="O84" s="41"/>
      <c r="P84" s="41"/>
      <c r="Q84" s="41"/>
      <c r="R84" s="41"/>
      <c r="S84" s="41"/>
      <c r="T84" s="41"/>
      <c r="U84" s="41"/>
      <c r="V84" s="41"/>
      <c r="W84" s="41"/>
      <c r="X84" s="8"/>
      <c r="Y84" s="1"/>
    </row>
    <row r="85" spans="3:25" ht="15.75" x14ac:dyDescent="0.5">
      <c r="C85" s="1"/>
      <c r="E85" s="48" t="s">
        <v>274</v>
      </c>
      <c r="F85" s="84">
        <f>AVERAGE('Work with data'!I37:I46)</f>
        <v>6.8172602739726029</v>
      </c>
      <c r="G85" s="45"/>
      <c r="H85" s="143">
        <f>'Work with data'!I161</f>
        <v>6.1575342465753415</v>
      </c>
      <c r="I85" s="144"/>
      <c r="J85" s="145"/>
      <c r="K85" s="41"/>
      <c r="L85" s="140">
        <f>F85/H85</f>
        <v>1.1071412680756398</v>
      </c>
      <c r="M85" s="141"/>
      <c r="N85" s="142"/>
      <c r="O85" s="41"/>
      <c r="P85" s="41"/>
      <c r="Q85" s="41"/>
      <c r="R85" s="41"/>
      <c r="S85" s="41"/>
      <c r="T85" s="41"/>
      <c r="U85" s="41"/>
      <c r="V85" s="41"/>
      <c r="W85" s="41"/>
      <c r="X85" s="8"/>
      <c r="Y85" s="1"/>
    </row>
    <row r="86" spans="3:25" ht="9.75" customHeight="1" x14ac:dyDescent="0.5">
      <c r="C86" s="1"/>
      <c r="E86" s="48"/>
      <c r="F86" s="49"/>
      <c r="G86" s="45"/>
      <c r="H86" s="49"/>
      <c r="I86" s="49"/>
      <c r="J86" s="49"/>
      <c r="K86" s="41"/>
      <c r="L86" s="41"/>
      <c r="M86" s="41"/>
      <c r="N86" s="41"/>
      <c r="O86" s="41"/>
      <c r="P86" s="41"/>
      <c r="Q86" s="41"/>
      <c r="R86" s="41"/>
      <c r="S86" s="41"/>
      <c r="T86" s="41"/>
      <c r="U86" s="41"/>
      <c r="V86" s="41"/>
      <c r="W86" s="41"/>
      <c r="X86" s="8"/>
    </row>
    <row r="87" spans="3:25" ht="15.75" x14ac:dyDescent="0.45">
      <c r="C87" s="1"/>
      <c r="E87" s="41" t="s">
        <v>16</v>
      </c>
      <c r="F87" s="84">
        <f>'Work with data'!G47</f>
        <v>5.7649999999999997</v>
      </c>
      <c r="G87" s="45"/>
      <c r="H87" s="143">
        <f>AVERAGE(N24:N73)</f>
        <v>4.819</v>
      </c>
      <c r="I87" s="144"/>
      <c r="J87" s="145"/>
      <c r="K87" s="41"/>
      <c r="L87" s="143">
        <f>F87/H87</f>
        <v>1.1963062876115376</v>
      </c>
      <c r="M87" s="144"/>
      <c r="N87" s="145"/>
      <c r="O87" s="41"/>
      <c r="P87" s="41"/>
      <c r="Q87" s="41"/>
      <c r="R87" s="41"/>
      <c r="S87" s="41"/>
      <c r="T87" s="41"/>
      <c r="U87" s="41"/>
      <c r="V87" s="41"/>
      <c r="W87" s="41"/>
      <c r="X87" s="8"/>
      <c r="Y87" s="1"/>
    </row>
    <row r="88" spans="3:25" ht="10.5" customHeight="1" x14ac:dyDescent="0.45">
      <c r="C88" s="1"/>
      <c r="E88" s="41"/>
      <c r="F88" s="49"/>
      <c r="G88" s="45"/>
      <c r="H88" s="49"/>
      <c r="I88" s="49"/>
      <c r="J88" s="49"/>
      <c r="K88" s="41"/>
      <c r="L88" s="41"/>
      <c r="M88" s="41"/>
      <c r="N88" s="41"/>
      <c r="O88" s="41"/>
      <c r="P88" s="41"/>
      <c r="Q88" s="41"/>
      <c r="R88" s="41"/>
      <c r="S88" s="41"/>
      <c r="T88" s="41"/>
      <c r="U88" s="41"/>
      <c r="V88" s="41"/>
      <c r="W88" s="41"/>
      <c r="X88" s="8"/>
    </row>
    <row r="89" spans="3:25" ht="15.75" x14ac:dyDescent="0.45">
      <c r="C89" s="1"/>
      <c r="E89" s="41" t="s">
        <v>275</v>
      </c>
      <c r="F89" s="47">
        <f>'Work with data'!E47</f>
        <v>4.3089999999999976E-2</v>
      </c>
      <c r="G89" s="45"/>
      <c r="H89" s="140">
        <f>AVERAGE(K24:K73)</f>
        <v>4.799599999999999E-2</v>
      </c>
      <c r="I89" s="141"/>
      <c r="J89" s="142"/>
      <c r="K89" s="41"/>
      <c r="L89" s="140">
        <f>F89/H89</f>
        <v>0.89778314859571595</v>
      </c>
      <c r="M89" s="141"/>
      <c r="N89" s="142"/>
      <c r="O89" s="41"/>
      <c r="P89" s="41"/>
      <c r="Q89" s="41"/>
      <c r="R89" s="41"/>
      <c r="S89" s="41"/>
      <c r="T89" s="41"/>
      <c r="U89" s="41"/>
      <c r="V89" s="41"/>
      <c r="W89" s="41"/>
      <c r="X89" s="8"/>
    </row>
    <row r="90" spans="3:25" ht="9.75" customHeight="1" x14ac:dyDescent="0.45">
      <c r="C90" s="1"/>
      <c r="E90" s="41"/>
      <c r="F90" s="41"/>
      <c r="G90" s="41"/>
      <c r="H90" s="41"/>
      <c r="I90" s="41"/>
      <c r="J90" s="41"/>
      <c r="K90" s="41"/>
      <c r="L90" s="41"/>
      <c r="M90" s="41"/>
      <c r="N90" s="41"/>
      <c r="O90" s="41"/>
      <c r="P90" s="41"/>
      <c r="Q90" s="41"/>
      <c r="R90" s="41"/>
      <c r="S90" s="41"/>
      <c r="T90" s="41"/>
      <c r="U90" s="41"/>
      <c r="V90" s="41"/>
      <c r="W90" s="41"/>
      <c r="X90" s="8"/>
      <c r="Y90" s="1"/>
    </row>
    <row r="91" spans="3:25" ht="15.75" x14ac:dyDescent="0.45">
      <c r="C91" s="1"/>
      <c r="E91" s="41" t="s">
        <v>276</v>
      </c>
      <c r="F91" s="47" t="str">
        <f>'Work with data'!A56</f>
        <v>A</v>
      </c>
      <c r="G91" s="45"/>
      <c r="H91" s="140" t="str">
        <f>'Work with data'!A57</f>
        <v>A-</v>
      </c>
      <c r="I91" s="141"/>
      <c r="J91" s="142"/>
      <c r="K91" s="41"/>
      <c r="L91" s="143" t="s">
        <v>329</v>
      </c>
      <c r="M91" s="144"/>
      <c r="N91" s="145"/>
      <c r="O91" s="41"/>
      <c r="P91" s="41"/>
      <c r="Q91" s="41"/>
      <c r="R91" s="41"/>
      <c r="S91" s="41"/>
      <c r="T91" s="41"/>
      <c r="U91" s="41"/>
      <c r="V91" s="41"/>
      <c r="W91" s="41"/>
      <c r="X91" s="8"/>
      <c r="Y91" s="1"/>
    </row>
    <row r="92" spans="3:25" ht="9.75" customHeight="1" x14ac:dyDescent="0.45">
      <c r="C92" s="1"/>
      <c r="E92" s="41"/>
      <c r="F92" s="41"/>
      <c r="G92" s="41"/>
      <c r="H92" s="41"/>
      <c r="I92" s="41"/>
      <c r="J92" s="41"/>
      <c r="K92" s="41"/>
      <c r="L92" s="41"/>
      <c r="M92" s="41"/>
      <c r="N92" s="41"/>
      <c r="O92" s="41"/>
      <c r="P92" s="41"/>
      <c r="Q92" s="41"/>
      <c r="R92" s="41"/>
      <c r="S92" s="41"/>
      <c r="T92" s="41"/>
      <c r="U92" s="41"/>
      <c r="V92" s="41"/>
      <c r="W92" s="41"/>
      <c r="X92" s="8"/>
      <c r="Y92" s="1"/>
    </row>
    <row r="93" spans="3:25" ht="15.75" x14ac:dyDescent="0.45">
      <c r="C93" s="1"/>
      <c r="E93" s="41" t="s">
        <v>277</v>
      </c>
      <c r="F93" s="47">
        <f>'Work with data'!F47</f>
        <v>6.559999999999999E-3</v>
      </c>
      <c r="G93" s="45"/>
      <c r="H93" s="140">
        <f>AVERAGE(M24:M73)</f>
        <v>1.2390000000000002E-2</v>
      </c>
      <c r="I93" s="141"/>
      <c r="J93" s="142"/>
      <c r="K93" s="41"/>
      <c r="L93" s="152">
        <f>F93/H93</f>
        <v>0.52945924132364797</v>
      </c>
      <c r="M93" s="153"/>
      <c r="N93" s="154"/>
      <c r="O93" s="41"/>
      <c r="P93" s="41"/>
      <c r="Q93" s="41"/>
      <c r="R93" s="41"/>
      <c r="S93" s="41"/>
      <c r="T93" s="41"/>
      <c r="U93" s="41"/>
      <c r="V93" s="41"/>
      <c r="W93" s="41"/>
      <c r="X93" s="8"/>
      <c r="Y93" s="1"/>
    </row>
    <row r="94" spans="3:25" ht="9.75" customHeight="1" x14ac:dyDescent="0.45">
      <c r="C94" s="1"/>
      <c r="E94" s="41"/>
      <c r="F94" s="49"/>
      <c r="G94" s="45"/>
      <c r="H94" s="49"/>
      <c r="I94" s="49"/>
      <c r="J94" s="49"/>
      <c r="K94" s="41"/>
      <c r="L94" s="49"/>
      <c r="M94" s="49"/>
      <c r="N94" s="49"/>
      <c r="O94" s="41"/>
      <c r="P94" s="41"/>
      <c r="Q94" s="41"/>
      <c r="R94" s="41"/>
      <c r="S94" s="41"/>
      <c r="T94" s="41"/>
      <c r="U94" s="41"/>
      <c r="V94" s="41"/>
      <c r="W94" s="41"/>
      <c r="X94" s="8"/>
      <c r="Y94" s="1"/>
    </row>
    <row r="95" spans="3:25" ht="15.75" x14ac:dyDescent="0.45">
      <c r="C95" s="1"/>
      <c r="E95" s="41" t="s">
        <v>278</v>
      </c>
      <c r="F95" s="47">
        <f>SUMPRODUCT('Work with data'!F37:F46,'Work with data'!G37:G46)/10</f>
        <v>3.8365900000000001E-2</v>
      </c>
      <c r="G95" s="45"/>
      <c r="H95" s="140">
        <f>SUMPRODUCT(M24:M73,N24:N73)/COUNTA(F24:F73)</f>
        <v>6.6027179999999991E-2</v>
      </c>
      <c r="I95" s="141"/>
      <c r="J95" s="142"/>
      <c r="K95" s="41"/>
      <c r="L95" s="140">
        <f>F95/H95</f>
        <v>0.58106222316324896</v>
      </c>
      <c r="M95" s="141"/>
      <c r="N95" s="142"/>
      <c r="O95" s="41"/>
      <c r="P95" s="41"/>
      <c r="Q95" s="41"/>
      <c r="R95" s="41"/>
      <c r="S95" s="41"/>
      <c r="T95" s="41"/>
      <c r="U95" s="41"/>
      <c r="V95" s="41"/>
      <c r="W95" s="41"/>
      <c r="X95" s="8"/>
      <c r="Y95" s="1"/>
    </row>
    <row r="96" spans="3:25" ht="9.75" customHeight="1" x14ac:dyDescent="0.45">
      <c r="C96" s="1"/>
      <c r="E96" s="41"/>
      <c r="F96" s="49"/>
      <c r="G96" s="45"/>
      <c r="H96" s="49"/>
      <c r="I96" s="49"/>
      <c r="J96" s="49"/>
      <c r="K96" s="41"/>
      <c r="L96" s="49"/>
      <c r="M96" s="49"/>
      <c r="N96" s="49"/>
      <c r="O96" s="41"/>
      <c r="P96" s="41"/>
      <c r="Q96" s="41"/>
      <c r="R96" s="41"/>
      <c r="S96" s="41"/>
      <c r="T96" s="41"/>
      <c r="U96" s="41"/>
      <c r="V96" s="41"/>
      <c r="W96" s="41"/>
      <c r="X96" s="8"/>
      <c r="Y96" s="1"/>
    </row>
    <row r="97" spans="1:26" ht="15.75" x14ac:dyDescent="0.45">
      <c r="C97" s="1"/>
      <c r="E97" s="41" t="s">
        <v>279</v>
      </c>
      <c r="F97" s="47">
        <v>0</v>
      </c>
      <c r="G97" s="45"/>
      <c r="H97" s="140">
        <f>SUM('Work with data'!C61:C72)/'Work with data'!C73</f>
        <v>0.12</v>
      </c>
      <c r="I97" s="141"/>
      <c r="J97" s="142"/>
      <c r="K97" s="41"/>
      <c r="L97" s="140">
        <f>F97-H97</f>
        <v>-0.12</v>
      </c>
      <c r="M97" s="141"/>
      <c r="N97" s="142"/>
      <c r="O97" s="41"/>
      <c r="P97" s="41"/>
      <c r="Q97" s="41"/>
      <c r="R97" s="41"/>
      <c r="S97" s="41"/>
      <c r="T97" s="41"/>
      <c r="U97" s="41"/>
      <c r="V97" s="41"/>
      <c r="W97" s="41"/>
      <c r="X97" s="8"/>
      <c r="Y97" s="1"/>
    </row>
    <row r="98" spans="1:26" ht="15.75" x14ac:dyDescent="0.45">
      <c r="C98" s="1"/>
      <c r="E98" s="41"/>
      <c r="F98" s="49"/>
      <c r="G98" s="45"/>
      <c r="H98" s="49"/>
      <c r="I98" s="49"/>
      <c r="J98" s="49"/>
      <c r="K98" s="41"/>
      <c r="L98" s="49"/>
      <c r="M98" s="49"/>
      <c r="N98" s="49"/>
      <c r="O98" s="41"/>
      <c r="P98" s="41"/>
      <c r="Q98" s="41"/>
      <c r="R98" s="41"/>
      <c r="S98" s="41"/>
      <c r="T98" s="41"/>
      <c r="U98" s="41"/>
      <c r="V98" s="41"/>
      <c r="W98" s="41"/>
      <c r="X98" s="8"/>
      <c r="Y98" s="1"/>
    </row>
    <row r="99" spans="1:26" ht="15.75" x14ac:dyDescent="0.5">
      <c r="A99" s="44"/>
      <c r="B99" s="44"/>
      <c r="C99" s="63"/>
      <c r="D99" s="44"/>
      <c r="E99" s="44"/>
      <c r="F99" s="44"/>
      <c r="G99" s="44"/>
      <c r="H99" s="44"/>
      <c r="I99" s="44"/>
      <c r="J99" s="44"/>
      <c r="K99" s="44"/>
      <c r="L99" s="44"/>
      <c r="M99" s="44"/>
      <c r="N99" s="44"/>
      <c r="O99" s="44"/>
      <c r="P99" s="44"/>
      <c r="Q99" s="44"/>
      <c r="R99" s="44"/>
      <c r="S99" s="44"/>
      <c r="T99" s="44"/>
      <c r="U99" s="44"/>
      <c r="V99" s="44"/>
      <c r="W99" s="44"/>
      <c r="X99" s="45"/>
      <c r="Y99" s="63"/>
      <c r="Z99" s="44"/>
    </row>
    <row r="100" spans="1:26" ht="15.75" x14ac:dyDescent="0.5">
      <c r="A100" s="44"/>
      <c r="B100" s="44"/>
      <c r="C100" s="63"/>
      <c r="D100" s="44"/>
      <c r="E100" s="43" t="s">
        <v>280</v>
      </c>
      <c r="F100" s="44"/>
      <c r="G100" s="44"/>
      <c r="H100" s="44"/>
      <c r="I100" s="44"/>
      <c r="J100" s="44"/>
      <c r="K100" s="44"/>
      <c r="L100" s="44"/>
      <c r="M100" s="44"/>
      <c r="N100" s="44"/>
      <c r="O100" s="44"/>
      <c r="P100" s="44"/>
      <c r="Q100" s="44"/>
      <c r="R100" s="44"/>
      <c r="S100" s="44"/>
      <c r="T100" s="44"/>
      <c r="U100" s="44"/>
      <c r="V100" s="44"/>
      <c r="W100" s="44"/>
      <c r="X100" s="45"/>
      <c r="Y100" s="63"/>
      <c r="Z100" s="44"/>
    </row>
    <row r="101" spans="1:26" ht="40.5" customHeight="1" x14ac:dyDescent="0.5">
      <c r="A101" s="44"/>
      <c r="B101" s="44"/>
      <c r="C101" s="63"/>
      <c r="D101" s="44"/>
      <c r="E101" s="139" t="s">
        <v>281</v>
      </c>
      <c r="F101" s="139"/>
      <c r="G101" s="139"/>
      <c r="H101" s="139"/>
      <c r="I101" s="139"/>
      <c r="J101" s="139"/>
      <c r="K101" s="139"/>
      <c r="L101" s="139"/>
      <c r="M101" s="139"/>
      <c r="N101" s="139"/>
      <c r="O101" s="139"/>
      <c r="P101" s="139"/>
      <c r="Q101" s="139"/>
      <c r="R101" s="139"/>
      <c r="S101" s="139"/>
      <c r="T101" s="139"/>
      <c r="U101" s="139"/>
      <c r="V101" s="139"/>
      <c r="W101" s="139"/>
      <c r="X101" s="45"/>
      <c r="Y101" s="63"/>
      <c r="Z101" s="44"/>
    </row>
    <row r="102" spans="1:26" ht="15.75" x14ac:dyDescent="0.5">
      <c r="A102" s="44"/>
      <c r="B102" s="44"/>
      <c r="C102" s="63"/>
      <c r="D102" s="44"/>
      <c r="E102" s="41"/>
      <c r="F102" s="41"/>
      <c r="G102" s="44"/>
      <c r="H102" s="44"/>
      <c r="I102" s="44"/>
      <c r="J102" s="44"/>
      <c r="K102" s="44"/>
      <c r="L102" s="44"/>
      <c r="M102" s="44"/>
      <c r="N102" s="44"/>
      <c r="O102" s="44"/>
      <c r="P102" s="44"/>
      <c r="Q102" s="44"/>
      <c r="R102" s="44"/>
      <c r="S102" s="44"/>
      <c r="T102" s="44"/>
      <c r="U102" s="44"/>
      <c r="V102" s="44"/>
      <c r="W102" s="44"/>
      <c r="X102" s="44"/>
      <c r="Y102" s="63"/>
      <c r="Z102" s="44"/>
    </row>
    <row r="103" spans="1:26" ht="15.75" x14ac:dyDescent="0.5">
      <c r="A103" s="44"/>
      <c r="B103" s="44"/>
      <c r="C103" s="63"/>
      <c r="D103" s="44"/>
      <c r="E103" s="45"/>
      <c r="F103" s="46" t="s">
        <v>269</v>
      </c>
      <c r="G103" s="46"/>
      <c r="H103" s="146" t="s">
        <v>270</v>
      </c>
      <c r="I103" s="146"/>
      <c r="J103" s="146"/>
      <c r="K103" s="45"/>
      <c r="L103" s="146" t="s">
        <v>271</v>
      </c>
      <c r="M103" s="146"/>
      <c r="N103" s="146"/>
      <c r="O103" s="44"/>
      <c r="P103" s="44"/>
      <c r="Q103" s="44"/>
      <c r="R103" s="44"/>
      <c r="S103" s="44"/>
      <c r="T103" s="44"/>
      <c r="U103" s="44"/>
      <c r="V103" s="44"/>
      <c r="W103" s="44"/>
      <c r="X103" s="44"/>
      <c r="Y103" s="63"/>
      <c r="Z103" s="44"/>
    </row>
    <row r="104" spans="1:26" ht="15.75" x14ac:dyDescent="0.5">
      <c r="A104" s="44"/>
      <c r="B104" s="44"/>
      <c r="C104" s="63"/>
      <c r="D104" s="44"/>
      <c r="E104" s="44"/>
      <c r="F104" s="45"/>
      <c r="G104" s="45"/>
      <c r="H104" s="45"/>
      <c r="I104" s="45"/>
      <c r="J104" s="45"/>
      <c r="K104" s="45"/>
      <c r="L104" s="45"/>
      <c r="M104" s="45"/>
      <c r="N104" s="45"/>
      <c r="O104" s="44"/>
      <c r="P104" s="44"/>
      <c r="Q104" s="44"/>
      <c r="R104" s="44"/>
      <c r="S104" s="44"/>
      <c r="T104" s="44"/>
      <c r="U104" s="44"/>
      <c r="V104" s="44"/>
      <c r="W104" s="44"/>
      <c r="X104" s="44"/>
      <c r="Y104" s="63"/>
      <c r="Z104" s="44"/>
    </row>
    <row r="105" spans="1:26" ht="15.75" x14ac:dyDescent="0.5">
      <c r="A105" s="44"/>
      <c r="B105" s="44"/>
      <c r="C105" s="63"/>
      <c r="D105" s="44"/>
      <c r="E105" s="45" t="s">
        <v>282</v>
      </c>
      <c r="F105" s="47">
        <f>'Work with data'!B47</f>
        <v>2.7026617352603477E-3</v>
      </c>
      <c r="G105" s="61"/>
      <c r="H105" s="140">
        <f>'Work with data'!B161</f>
        <v>3.6800932166873856E-3</v>
      </c>
      <c r="I105" s="141"/>
      <c r="J105" s="142"/>
      <c r="K105" s="61"/>
      <c r="L105" s="140">
        <f>F105-H105</f>
        <v>-9.7743148142703795E-4</v>
      </c>
      <c r="M105" s="141"/>
      <c r="N105" s="142"/>
      <c r="O105" s="44"/>
      <c r="P105" s="44"/>
      <c r="Q105" s="44"/>
      <c r="R105" s="44"/>
      <c r="S105" s="44"/>
      <c r="T105" s="44"/>
      <c r="U105" s="44"/>
      <c r="V105" s="44"/>
      <c r="W105" s="44"/>
      <c r="X105" s="44"/>
      <c r="Y105" s="63"/>
      <c r="Z105" s="44"/>
    </row>
    <row r="106" spans="1:26" ht="15.75" x14ac:dyDescent="0.5">
      <c r="A106" s="44"/>
      <c r="B106" s="44"/>
      <c r="C106" s="63"/>
      <c r="D106" s="44"/>
      <c r="E106" s="44"/>
      <c r="F106" s="62"/>
      <c r="G106" s="62"/>
      <c r="H106" s="62"/>
      <c r="I106" s="62"/>
      <c r="J106" s="62"/>
      <c r="K106" s="62"/>
      <c r="L106" s="62"/>
      <c r="M106" s="62"/>
      <c r="N106" s="62"/>
      <c r="O106" s="44"/>
      <c r="P106" s="44"/>
      <c r="Q106" s="44"/>
      <c r="R106" s="44"/>
      <c r="S106" s="44"/>
      <c r="T106" s="44"/>
      <c r="U106" s="44"/>
      <c r="V106" s="44"/>
      <c r="W106" s="44"/>
      <c r="X106" s="44"/>
      <c r="Y106" s="63"/>
      <c r="Z106" s="44"/>
    </row>
    <row r="107" spans="1:26" ht="15.75" x14ac:dyDescent="0.5">
      <c r="A107" s="44"/>
      <c r="B107" s="44"/>
      <c r="C107" s="63"/>
      <c r="D107" s="44"/>
      <c r="E107" s="44" t="s">
        <v>283</v>
      </c>
      <c r="F107" s="47">
        <f>(1+F105)^(365/(Daten!$E$49-Daten!$E$17))-1</f>
        <v>2.1181657257991482E-2</v>
      </c>
      <c r="G107" s="61"/>
      <c r="H107" s="140">
        <f>(1+H105)^(365/(Daten!$E$49-Daten!$E$17))-1</f>
        <v>2.8937779915062523E-2</v>
      </c>
      <c r="I107" s="141"/>
      <c r="J107" s="142"/>
      <c r="K107" s="61"/>
      <c r="L107" s="140">
        <f>F107-H107</f>
        <v>-7.7561226570710406E-3</v>
      </c>
      <c r="M107" s="141"/>
      <c r="N107" s="142"/>
      <c r="O107" s="44"/>
      <c r="P107" s="44"/>
      <c r="Q107" s="44"/>
      <c r="R107" s="44"/>
      <c r="S107" s="44"/>
      <c r="T107" s="44"/>
      <c r="U107" s="44"/>
      <c r="V107" s="44"/>
      <c r="W107" s="44"/>
      <c r="X107" s="44"/>
      <c r="Y107" s="63"/>
      <c r="Z107" s="44"/>
    </row>
    <row r="108" spans="1:26" ht="15.75" x14ac:dyDescent="0.5">
      <c r="A108" s="44"/>
      <c r="B108" s="44"/>
      <c r="C108" s="63"/>
      <c r="D108" s="44"/>
      <c r="E108" s="44"/>
      <c r="F108" s="44"/>
      <c r="G108" s="44"/>
      <c r="H108" s="44"/>
      <c r="I108" s="44"/>
      <c r="J108" s="44"/>
      <c r="K108" s="44"/>
      <c r="L108" s="44"/>
      <c r="M108" s="44"/>
      <c r="N108" s="44"/>
      <c r="O108" s="44"/>
      <c r="P108" s="44"/>
      <c r="Q108" s="44"/>
      <c r="R108" s="44"/>
      <c r="S108" s="44"/>
      <c r="T108" s="44"/>
      <c r="U108" s="44"/>
      <c r="V108" s="44"/>
      <c r="W108" s="44"/>
      <c r="X108" s="44"/>
      <c r="Y108" s="63"/>
      <c r="Z108" s="44"/>
    </row>
    <row r="109" spans="1:26" ht="15.75" x14ac:dyDescent="0.5">
      <c r="A109" s="44"/>
      <c r="B109" s="44"/>
      <c r="C109" s="63"/>
      <c r="D109" s="44"/>
      <c r="E109" s="44" t="s">
        <v>284</v>
      </c>
      <c r="F109" s="47">
        <f>_xlfn.STDEV.S('Work with data'!K2:K33)</f>
        <v>6.5066373600402964E-4</v>
      </c>
      <c r="G109" s="45"/>
      <c r="H109" s="140">
        <f>_xlfn.STDEV.S('Work with data'!AY76:AY107)</f>
        <v>5.1533704931041723E-4</v>
      </c>
      <c r="I109" s="141"/>
      <c r="J109" s="142"/>
      <c r="K109" s="45"/>
      <c r="L109" s="138"/>
      <c r="M109" s="138"/>
      <c r="N109" s="138"/>
      <c r="O109" s="44"/>
      <c r="P109" s="44"/>
      <c r="Q109" s="44"/>
      <c r="R109" s="44"/>
      <c r="S109" s="44"/>
      <c r="T109" s="44"/>
      <c r="U109" s="44"/>
      <c r="V109" s="44"/>
      <c r="W109" s="44"/>
      <c r="X109" s="44"/>
      <c r="Y109" s="63"/>
      <c r="Z109" s="44"/>
    </row>
    <row r="110" spans="1:26" ht="15.75" x14ac:dyDescent="0.5">
      <c r="A110" s="44"/>
      <c r="B110" s="44"/>
      <c r="C110" s="63"/>
      <c r="D110" s="44"/>
      <c r="E110" s="44"/>
      <c r="F110" s="44"/>
      <c r="G110" s="44"/>
      <c r="H110" s="44"/>
      <c r="I110" s="44"/>
      <c r="J110" s="44"/>
      <c r="K110" s="44"/>
      <c r="L110" s="155"/>
      <c r="M110" s="155"/>
      <c r="N110" s="155"/>
      <c r="O110" s="62"/>
      <c r="P110" s="44"/>
      <c r="Q110" s="44"/>
      <c r="R110" s="44"/>
      <c r="S110" s="44"/>
      <c r="T110" s="44"/>
      <c r="U110" s="44"/>
      <c r="V110" s="44"/>
      <c r="W110" s="44"/>
      <c r="X110" s="44"/>
      <c r="Y110" s="63"/>
      <c r="Z110" s="44"/>
    </row>
    <row r="111" spans="1:26" ht="15.75" x14ac:dyDescent="0.5">
      <c r="A111" s="44"/>
      <c r="B111" s="44"/>
      <c r="C111" s="63"/>
      <c r="D111" s="44"/>
      <c r="E111" s="44" t="s">
        <v>285</v>
      </c>
      <c r="F111" s="47">
        <f>F109*SQRT(252)</f>
        <v>1.0328966595569077E-2</v>
      </c>
      <c r="G111" s="45"/>
      <c r="H111" s="140">
        <f>H109*SQRT(252)</f>
        <v>8.1807220431191641E-3</v>
      </c>
      <c r="I111" s="141"/>
      <c r="J111" s="142"/>
      <c r="K111" s="45"/>
      <c r="L111" s="155"/>
      <c r="M111" s="155"/>
      <c r="N111" s="155"/>
      <c r="O111" s="64"/>
      <c r="P111" s="44"/>
      <c r="Q111" s="44"/>
      <c r="R111" s="44"/>
      <c r="S111" s="44"/>
      <c r="T111" s="44"/>
      <c r="U111" s="44"/>
      <c r="V111" s="44"/>
      <c r="W111" s="44"/>
      <c r="X111" s="44"/>
      <c r="Y111" s="63"/>
      <c r="Z111" s="44"/>
    </row>
    <row r="112" spans="1:26" ht="15.75" x14ac:dyDescent="0.5">
      <c r="A112" s="44"/>
      <c r="B112" s="44"/>
      <c r="C112" s="63"/>
      <c r="D112" s="44"/>
      <c r="E112" s="44"/>
      <c r="F112" s="44"/>
      <c r="G112" s="44"/>
      <c r="H112" s="44"/>
      <c r="I112" s="44"/>
      <c r="J112" s="44"/>
      <c r="K112" s="44"/>
      <c r="L112" s="44"/>
      <c r="M112" s="44"/>
      <c r="N112" s="44"/>
      <c r="O112" s="44"/>
      <c r="P112" s="44"/>
      <c r="Q112" s="44"/>
      <c r="R112" s="44"/>
      <c r="S112" s="44"/>
      <c r="T112" s="44"/>
      <c r="U112" s="44"/>
      <c r="V112" s="44"/>
      <c r="W112" s="44"/>
      <c r="X112" s="44"/>
      <c r="Y112" s="63"/>
      <c r="Z112" s="44"/>
    </row>
    <row r="113" spans="1:26" ht="15.75" x14ac:dyDescent="0.5">
      <c r="A113" s="44"/>
      <c r="B113" s="44"/>
      <c r="C113" s="63"/>
      <c r="D113" s="44"/>
      <c r="E113" s="41" t="s">
        <v>286</v>
      </c>
      <c r="F113" s="59">
        <f>(F105-0.0025*(Daten!$E$49-Daten!$E$17)/365)/F109</f>
        <v>3.6589466959726575</v>
      </c>
      <c r="G113" s="58"/>
      <c r="H113" s="135">
        <f>(H105-0.0025*(Daten!$E$49-Daten!$E$17)/365)/H109</f>
        <v>6.5164641528526799</v>
      </c>
      <c r="I113" s="136"/>
      <c r="J113" s="137"/>
      <c r="K113" s="44"/>
      <c r="L113" s="44"/>
      <c r="M113" s="44"/>
      <c r="N113" s="44"/>
      <c r="O113" s="44"/>
      <c r="P113" s="44"/>
      <c r="Q113" s="44"/>
      <c r="R113" s="44"/>
      <c r="S113" s="44"/>
      <c r="T113" s="44"/>
      <c r="U113" s="44"/>
      <c r="V113" s="44"/>
      <c r="W113" s="44"/>
      <c r="X113" s="44"/>
      <c r="Y113" s="63"/>
      <c r="Z113" s="44"/>
    </row>
    <row r="114" spans="1:26" ht="15.75" x14ac:dyDescent="0.5">
      <c r="A114" s="44"/>
      <c r="B114" s="44"/>
      <c r="C114" s="63"/>
      <c r="D114" s="44"/>
      <c r="E114" s="41"/>
      <c r="F114" s="60"/>
      <c r="G114" s="58"/>
      <c r="H114" s="58"/>
      <c r="I114" s="58"/>
      <c r="J114" s="58"/>
      <c r="K114" s="44"/>
      <c r="L114" s="44"/>
      <c r="M114" s="44"/>
      <c r="N114" s="44"/>
      <c r="O114" s="44"/>
      <c r="P114" s="44"/>
      <c r="Q114" s="44"/>
      <c r="R114" s="44"/>
      <c r="S114" s="44"/>
      <c r="T114" s="44"/>
      <c r="U114" s="44"/>
      <c r="V114" s="44"/>
      <c r="W114" s="44"/>
      <c r="X114" s="44"/>
      <c r="Y114" s="63"/>
      <c r="Z114" s="44"/>
    </row>
    <row r="115" spans="1:26" ht="15.75" x14ac:dyDescent="0.5">
      <c r="A115" s="44"/>
      <c r="B115" s="44"/>
      <c r="C115" s="63"/>
      <c r="D115" s="44"/>
      <c r="E115" s="41" t="s">
        <v>287</v>
      </c>
      <c r="F115" s="59">
        <f>(F107-0.0025)/F111</f>
        <v>1.8086666352474745</v>
      </c>
      <c r="G115" s="58"/>
      <c r="H115" s="135">
        <f>(H107-0.0025)/H111</f>
        <v>3.2317171730946952</v>
      </c>
      <c r="I115" s="136"/>
      <c r="J115" s="137"/>
      <c r="K115" s="44"/>
      <c r="L115" s="44"/>
      <c r="M115" s="44"/>
      <c r="N115" s="44"/>
      <c r="O115" s="44"/>
      <c r="P115" s="44"/>
      <c r="Q115" s="44"/>
      <c r="R115" s="44"/>
      <c r="S115" s="44"/>
      <c r="T115" s="44"/>
      <c r="U115" s="44"/>
      <c r="V115" s="44"/>
      <c r="W115" s="44"/>
      <c r="X115" s="44"/>
      <c r="Y115" s="63"/>
      <c r="Z115" s="44"/>
    </row>
    <row r="116" spans="1:26" ht="15.75" x14ac:dyDescent="0.5">
      <c r="A116" s="44"/>
      <c r="B116" s="44"/>
      <c r="C116" s="63"/>
      <c r="D116" s="44"/>
      <c r="E116" s="41"/>
      <c r="F116" s="41"/>
      <c r="G116" s="44"/>
      <c r="H116" s="44"/>
      <c r="I116" s="44"/>
      <c r="J116" s="44"/>
      <c r="K116" s="44"/>
      <c r="L116" s="44"/>
      <c r="M116" s="44"/>
      <c r="N116" s="44"/>
      <c r="O116" s="44"/>
      <c r="P116" s="44"/>
      <c r="Q116" s="44"/>
      <c r="R116" s="44"/>
      <c r="S116" s="44"/>
      <c r="T116" s="44"/>
      <c r="U116" s="44"/>
      <c r="V116" s="44"/>
      <c r="W116" s="44"/>
      <c r="X116" s="44"/>
      <c r="Y116" s="63"/>
      <c r="Z116" s="44"/>
    </row>
    <row r="117" spans="1:26" ht="15.75" x14ac:dyDescent="0.5">
      <c r="A117" s="44"/>
      <c r="B117" s="44"/>
      <c r="C117" s="63"/>
      <c r="D117" s="44"/>
      <c r="E117" s="41" t="s">
        <v>288</v>
      </c>
      <c r="F117" s="47" cm="1">
        <f t="array" ref="F117">_xlfn.STDEV.S('Work with data'!K2:K34-'Work with data'!AY76:AY108)</f>
        <v>3.5426921291594984E-4</v>
      </c>
      <c r="G117" s="58"/>
      <c r="H117" s="135">
        <v>0</v>
      </c>
      <c r="I117" s="136"/>
      <c r="J117" s="137"/>
      <c r="K117" s="44"/>
      <c r="L117" s="44"/>
      <c r="M117" s="44"/>
      <c r="N117" s="44"/>
      <c r="O117" s="44"/>
      <c r="P117" s="44"/>
      <c r="Q117" s="44"/>
      <c r="R117" s="44"/>
      <c r="S117" s="44"/>
      <c r="T117" s="44"/>
      <c r="U117" s="44"/>
      <c r="V117" s="44"/>
      <c r="W117" s="44"/>
      <c r="X117" s="44"/>
      <c r="Y117" s="63"/>
      <c r="Z117" s="44"/>
    </row>
    <row r="118" spans="1:26" ht="15.75" x14ac:dyDescent="0.5">
      <c r="A118" s="44"/>
      <c r="B118" s="44"/>
      <c r="C118" s="63"/>
      <c r="D118" s="44"/>
      <c r="E118" s="41"/>
      <c r="F118" s="41"/>
      <c r="G118" s="44"/>
      <c r="H118" s="44"/>
      <c r="I118" s="44"/>
      <c r="J118" s="44"/>
      <c r="K118" s="44"/>
      <c r="L118" s="44"/>
      <c r="M118" s="44"/>
      <c r="N118" s="44"/>
      <c r="O118" s="44"/>
      <c r="P118" s="44"/>
      <c r="Q118" s="44"/>
      <c r="R118" s="44"/>
      <c r="S118" s="44"/>
      <c r="T118" s="44"/>
      <c r="U118" s="44"/>
      <c r="V118" s="44"/>
      <c r="W118" s="44"/>
      <c r="X118" s="44"/>
      <c r="Y118" s="63"/>
      <c r="Z118" s="44"/>
    </row>
    <row r="119" spans="1:26" ht="15.75" x14ac:dyDescent="0.5">
      <c r="A119" s="44"/>
      <c r="B119" s="44"/>
      <c r="C119" s="63"/>
      <c r="D119" s="44"/>
      <c r="E119" s="41" t="s">
        <v>289</v>
      </c>
      <c r="F119" s="57">
        <f>(F105-H105)/F117</f>
        <v>-2.7590076862223221</v>
      </c>
      <c r="G119" s="58"/>
      <c r="H119" s="135">
        <v>0</v>
      </c>
      <c r="I119" s="136"/>
      <c r="J119" s="137"/>
      <c r="K119" s="44"/>
      <c r="L119" s="44"/>
      <c r="M119" s="44"/>
      <c r="N119" s="44"/>
      <c r="O119" s="44"/>
      <c r="P119" s="44"/>
      <c r="Q119" s="44"/>
      <c r="R119" s="44"/>
      <c r="S119" s="44"/>
      <c r="T119" s="44"/>
      <c r="U119" s="44"/>
      <c r="V119" s="44"/>
      <c r="W119" s="44"/>
      <c r="X119" s="44"/>
      <c r="Y119" s="63"/>
      <c r="Z119" s="44"/>
    </row>
    <row r="120" spans="1:26" ht="15.75" x14ac:dyDescent="0.5">
      <c r="A120" s="44"/>
      <c r="B120" s="44"/>
      <c r="C120" s="63"/>
      <c r="D120" s="44"/>
      <c r="E120" s="41"/>
      <c r="F120" s="41"/>
      <c r="G120" s="44"/>
      <c r="H120" s="44"/>
      <c r="I120" s="44"/>
      <c r="J120" s="44"/>
      <c r="K120" s="44"/>
      <c r="L120" s="44"/>
      <c r="M120" s="44"/>
      <c r="N120" s="44"/>
      <c r="O120" s="44"/>
      <c r="P120" s="44"/>
      <c r="Q120" s="44"/>
      <c r="R120" s="44"/>
      <c r="S120" s="44"/>
      <c r="T120" s="44"/>
      <c r="U120" s="44"/>
      <c r="V120" s="44"/>
      <c r="W120" s="44"/>
      <c r="X120" s="44"/>
      <c r="Y120" s="63"/>
      <c r="Z120" s="44"/>
    </row>
    <row r="121" spans="1:26" ht="15.75" x14ac:dyDescent="0.5">
      <c r="A121" s="44"/>
      <c r="B121" s="44"/>
      <c r="C121" s="63"/>
      <c r="D121" s="44"/>
      <c r="E121" s="41" t="s">
        <v>290</v>
      </c>
      <c r="F121" s="57">
        <f>(F107-H107)/(SQRT(252)*F117)</f>
        <v>-1.3791483546959566</v>
      </c>
      <c r="G121" s="58"/>
      <c r="H121" s="135">
        <v>0</v>
      </c>
      <c r="I121" s="136"/>
      <c r="J121" s="137"/>
      <c r="K121" s="44"/>
      <c r="L121" s="44"/>
      <c r="M121" s="44"/>
      <c r="N121" s="44"/>
      <c r="O121" s="44"/>
      <c r="P121" s="44"/>
      <c r="Q121" s="44"/>
      <c r="R121" s="44"/>
      <c r="S121" s="44"/>
      <c r="T121" s="44"/>
      <c r="U121" s="44"/>
      <c r="V121" s="44"/>
      <c r="W121" s="44"/>
      <c r="X121" s="44"/>
      <c r="Y121" s="63"/>
      <c r="Z121" s="44"/>
    </row>
    <row r="122" spans="1:26" ht="15.75" x14ac:dyDescent="0.5">
      <c r="A122" s="44"/>
      <c r="B122" s="44"/>
      <c r="C122" s="63"/>
      <c r="D122" s="44"/>
      <c r="E122" s="41"/>
      <c r="F122" s="41"/>
      <c r="G122" s="44"/>
      <c r="H122" s="44"/>
      <c r="I122" s="44"/>
      <c r="J122" s="44"/>
      <c r="K122" s="44"/>
      <c r="L122" s="44"/>
      <c r="M122" s="44"/>
      <c r="N122" s="44"/>
      <c r="O122" s="44"/>
      <c r="P122" s="44"/>
      <c r="Q122" s="44"/>
      <c r="R122" s="44"/>
      <c r="S122" s="44"/>
      <c r="T122" s="44"/>
      <c r="U122" s="44"/>
      <c r="V122" s="44"/>
      <c r="W122" s="44"/>
      <c r="X122" s="44"/>
      <c r="Y122" s="63"/>
      <c r="Z122" s="44"/>
    </row>
    <row r="123" spans="1:26" ht="15.75" x14ac:dyDescent="0.5">
      <c r="A123" s="44"/>
      <c r="B123" s="44"/>
      <c r="C123" s="63"/>
      <c r="D123" s="44"/>
      <c r="E123" s="41"/>
      <c r="F123" s="41"/>
      <c r="G123" s="44"/>
      <c r="H123" s="44"/>
      <c r="I123" s="44"/>
      <c r="J123" s="44"/>
      <c r="K123" s="44"/>
      <c r="L123" s="44"/>
      <c r="M123" s="44"/>
      <c r="N123" s="44"/>
      <c r="O123" s="44"/>
      <c r="P123" s="44"/>
      <c r="Q123" s="44"/>
      <c r="R123" s="44"/>
      <c r="S123" s="44"/>
      <c r="T123" s="44"/>
      <c r="U123" s="44"/>
      <c r="V123" s="44"/>
      <c r="W123" s="44"/>
      <c r="X123" s="44"/>
      <c r="Y123" s="63"/>
      <c r="Z123" s="44"/>
    </row>
    <row r="124" spans="1:26" ht="78.75" x14ac:dyDescent="0.5">
      <c r="A124" s="44"/>
      <c r="B124" s="44"/>
      <c r="C124" s="63"/>
      <c r="D124" s="44"/>
      <c r="E124" s="41" t="s">
        <v>291</v>
      </c>
      <c r="F124" s="117" t="s">
        <v>334</v>
      </c>
      <c r="G124" s="118"/>
      <c r="H124" s="118"/>
      <c r="I124" s="118"/>
      <c r="J124" s="118"/>
      <c r="K124" s="118"/>
      <c r="L124" s="118"/>
      <c r="M124" s="118"/>
      <c r="N124" s="118"/>
      <c r="O124" s="118"/>
      <c r="P124" s="118"/>
      <c r="Q124" s="118"/>
      <c r="R124" s="118"/>
      <c r="S124" s="118"/>
      <c r="T124" s="118"/>
      <c r="U124" s="119"/>
      <c r="V124" s="44"/>
      <c r="W124" s="44"/>
      <c r="X124" s="44"/>
      <c r="Y124" s="63"/>
      <c r="Z124" s="44"/>
    </row>
    <row r="125" spans="1:26" ht="15.75" x14ac:dyDescent="0.5">
      <c r="A125" s="44"/>
      <c r="B125" s="44"/>
      <c r="C125" s="63"/>
      <c r="D125" s="44"/>
      <c r="E125" s="41"/>
      <c r="F125" s="120"/>
      <c r="G125" s="121"/>
      <c r="H125" s="121"/>
      <c r="I125" s="121"/>
      <c r="J125" s="121"/>
      <c r="K125" s="121"/>
      <c r="L125" s="121"/>
      <c r="M125" s="121"/>
      <c r="N125" s="121"/>
      <c r="O125" s="121"/>
      <c r="P125" s="121"/>
      <c r="Q125" s="121"/>
      <c r="R125" s="121"/>
      <c r="S125" s="121"/>
      <c r="T125" s="121"/>
      <c r="U125" s="122"/>
      <c r="V125" s="44"/>
      <c r="W125" s="44"/>
      <c r="X125" s="44"/>
      <c r="Y125" s="63"/>
      <c r="Z125" s="44"/>
    </row>
    <row r="126" spans="1:26" ht="15.75" x14ac:dyDescent="0.5">
      <c r="A126" s="44"/>
      <c r="B126" s="44"/>
      <c r="C126" s="63"/>
      <c r="D126" s="44"/>
      <c r="E126" s="41"/>
      <c r="F126" s="120"/>
      <c r="G126" s="121"/>
      <c r="H126" s="121"/>
      <c r="I126" s="121"/>
      <c r="J126" s="121"/>
      <c r="K126" s="121"/>
      <c r="L126" s="121"/>
      <c r="M126" s="121"/>
      <c r="N126" s="121"/>
      <c r="O126" s="121"/>
      <c r="P126" s="121"/>
      <c r="Q126" s="121"/>
      <c r="R126" s="121"/>
      <c r="S126" s="121"/>
      <c r="T126" s="121"/>
      <c r="U126" s="122"/>
      <c r="V126" s="44"/>
      <c r="W126" s="44"/>
      <c r="X126" s="44"/>
      <c r="Y126" s="63"/>
      <c r="Z126" s="44"/>
    </row>
    <row r="127" spans="1:26" ht="15.75" x14ac:dyDescent="0.5">
      <c r="A127" s="44"/>
      <c r="B127" s="44"/>
      <c r="C127" s="63"/>
      <c r="D127" s="44"/>
      <c r="E127" s="41"/>
      <c r="F127" s="120"/>
      <c r="G127" s="121"/>
      <c r="H127" s="121"/>
      <c r="I127" s="121"/>
      <c r="J127" s="121"/>
      <c r="K127" s="121"/>
      <c r="L127" s="121"/>
      <c r="M127" s="121"/>
      <c r="N127" s="121"/>
      <c r="O127" s="121"/>
      <c r="P127" s="121"/>
      <c r="Q127" s="121"/>
      <c r="R127" s="121"/>
      <c r="S127" s="121"/>
      <c r="T127" s="121"/>
      <c r="U127" s="122"/>
      <c r="V127" s="44"/>
      <c r="W127" s="44"/>
      <c r="X127" s="44"/>
      <c r="Y127" s="63"/>
      <c r="Z127" s="44"/>
    </row>
    <row r="128" spans="1:26" ht="15.75" x14ac:dyDescent="0.5">
      <c r="A128" s="44"/>
      <c r="B128" s="44"/>
      <c r="C128" s="63"/>
      <c r="D128" s="44"/>
      <c r="E128" s="41"/>
      <c r="F128" s="120"/>
      <c r="G128" s="121"/>
      <c r="H128" s="121"/>
      <c r="I128" s="121"/>
      <c r="J128" s="121"/>
      <c r="K128" s="121"/>
      <c r="L128" s="121"/>
      <c r="M128" s="121"/>
      <c r="N128" s="121"/>
      <c r="O128" s="121"/>
      <c r="P128" s="121"/>
      <c r="Q128" s="121"/>
      <c r="R128" s="121"/>
      <c r="S128" s="121"/>
      <c r="T128" s="121"/>
      <c r="U128" s="122"/>
      <c r="V128" s="44"/>
      <c r="W128" s="44"/>
      <c r="X128" s="44"/>
      <c r="Y128" s="63"/>
      <c r="Z128" s="44"/>
    </row>
    <row r="129" spans="1:26" ht="15.75" x14ac:dyDescent="0.5">
      <c r="A129" s="44"/>
      <c r="B129" s="44"/>
      <c r="C129" s="63"/>
      <c r="D129" s="44"/>
      <c r="E129" s="41"/>
      <c r="F129" s="120"/>
      <c r="G129" s="121"/>
      <c r="H129" s="121"/>
      <c r="I129" s="121"/>
      <c r="J129" s="121"/>
      <c r="K129" s="121"/>
      <c r="L129" s="121"/>
      <c r="M129" s="121"/>
      <c r="N129" s="121"/>
      <c r="O129" s="121"/>
      <c r="P129" s="121"/>
      <c r="Q129" s="121"/>
      <c r="R129" s="121"/>
      <c r="S129" s="121"/>
      <c r="T129" s="121"/>
      <c r="U129" s="122"/>
      <c r="V129" s="44"/>
      <c r="W129" s="44"/>
      <c r="X129" s="44"/>
      <c r="Y129" s="63"/>
      <c r="Z129" s="44"/>
    </row>
    <row r="130" spans="1:26" ht="15.75" x14ac:dyDescent="0.5">
      <c r="A130" s="44"/>
      <c r="B130" s="44"/>
      <c r="C130" s="63"/>
      <c r="D130" s="44"/>
      <c r="E130" s="41"/>
      <c r="F130" s="120"/>
      <c r="G130" s="121"/>
      <c r="H130" s="121"/>
      <c r="I130" s="121"/>
      <c r="J130" s="121"/>
      <c r="K130" s="121"/>
      <c r="L130" s="121"/>
      <c r="M130" s="121"/>
      <c r="N130" s="121"/>
      <c r="O130" s="121"/>
      <c r="P130" s="121"/>
      <c r="Q130" s="121"/>
      <c r="R130" s="121"/>
      <c r="S130" s="121"/>
      <c r="T130" s="121"/>
      <c r="U130" s="122"/>
      <c r="V130" s="44"/>
      <c r="W130" s="44"/>
      <c r="X130" s="44"/>
      <c r="Y130" s="63"/>
      <c r="Z130" s="44"/>
    </row>
    <row r="131" spans="1:26" ht="15.75" x14ac:dyDescent="0.5">
      <c r="A131" s="44"/>
      <c r="B131" s="44"/>
      <c r="C131" s="63"/>
      <c r="D131" s="44"/>
      <c r="E131" s="41"/>
      <c r="F131" s="123"/>
      <c r="G131" s="124"/>
      <c r="H131" s="124"/>
      <c r="I131" s="124"/>
      <c r="J131" s="124"/>
      <c r="K131" s="124"/>
      <c r="L131" s="124"/>
      <c r="M131" s="124"/>
      <c r="N131" s="124"/>
      <c r="O131" s="124"/>
      <c r="P131" s="124"/>
      <c r="Q131" s="124"/>
      <c r="R131" s="124"/>
      <c r="S131" s="124"/>
      <c r="T131" s="124"/>
      <c r="U131" s="125"/>
      <c r="V131" s="44"/>
      <c r="W131" s="44"/>
      <c r="X131" s="44"/>
      <c r="Y131" s="63"/>
      <c r="Z131" s="44"/>
    </row>
    <row r="132" spans="1:26" ht="15.75" x14ac:dyDescent="0.5">
      <c r="A132" s="44"/>
      <c r="B132" s="44"/>
      <c r="C132" s="63"/>
      <c r="D132" s="44"/>
      <c r="E132" s="41"/>
      <c r="F132" s="41"/>
      <c r="G132" s="44"/>
      <c r="H132" s="44"/>
      <c r="I132" s="44"/>
      <c r="J132" s="44"/>
      <c r="K132" s="44"/>
      <c r="L132" s="44"/>
      <c r="M132" s="44"/>
      <c r="N132" s="44"/>
      <c r="O132" s="44"/>
      <c r="P132" s="44"/>
      <c r="Q132" s="44"/>
      <c r="R132" s="44"/>
      <c r="S132" s="44"/>
      <c r="T132" s="44"/>
      <c r="U132" s="44"/>
      <c r="V132" s="44"/>
      <c r="W132" s="44"/>
      <c r="X132" s="44"/>
      <c r="Y132" s="63"/>
      <c r="Z132" s="44"/>
    </row>
    <row r="133" spans="1:26" ht="15.75" x14ac:dyDescent="0.5">
      <c r="A133" s="44"/>
      <c r="B133" s="44"/>
      <c r="C133" s="63"/>
      <c r="D133" s="44"/>
      <c r="E133" s="41"/>
      <c r="F133" s="41"/>
      <c r="G133" s="44"/>
      <c r="H133" s="44"/>
      <c r="I133" s="44"/>
      <c r="J133" s="44"/>
      <c r="K133" s="44"/>
      <c r="L133" s="44"/>
      <c r="M133" s="44"/>
      <c r="N133" s="44"/>
      <c r="O133" s="44"/>
      <c r="P133" s="44"/>
      <c r="Q133" s="44"/>
      <c r="R133" s="44"/>
      <c r="S133" s="44"/>
      <c r="T133" s="44"/>
      <c r="U133" s="44"/>
      <c r="V133" s="44"/>
      <c r="W133" s="44"/>
      <c r="X133" s="44"/>
      <c r="Y133" s="63"/>
      <c r="Z133" s="44"/>
    </row>
    <row r="134" spans="1:26" ht="15.75" x14ac:dyDescent="0.5">
      <c r="A134" s="44"/>
      <c r="B134" s="44"/>
      <c r="C134" s="63"/>
      <c r="D134" s="44"/>
      <c r="E134" s="43" t="s">
        <v>292</v>
      </c>
      <c r="F134" s="44"/>
      <c r="G134" s="44"/>
      <c r="H134" s="44"/>
      <c r="I134" s="44"/>
      <c r="J134" s="44"/>
      <c r="K134" s="44"/>
      <c r="L134" s="44"/>
      <c r="M134" s="44"/>
      <c r="N134" s="44"/>
      <c r="O134" s="44"/>
      <c r="P134" s="44"/>
      <c r="Q134" s="44"/>
      <c r="R134" s="44"/>
      <c r="S134" s="44"/>
      <c r="T134" s="44"/>
      <c r="U134" s="44"/>
      <c r="V134" s="44"/>
      <c r="W134" s="44"/>
      <c r="X134" s="44"/>
      <c r="Y134" s="63"/>
      <c r="Z134" s="44"/>
    </row>
    <row r="135" spans="1:26" ht="15.75" x14ac:dyDescent="0.5">
      <c r="A135" s="44"/>
      <c r="B135" s="44"/>
      <c r="C135" s="63"/>
      <c r="D135" s="44"/>
      <c r="E135" s="139" t="s">
        <v>293</v>
      </c>
      <c r="F135" s="139"/>
      <c r="G135" s="139"/>
      <c r="H135" s="139"/>
      <c r="I135" s="139"/>
      <c r="J135" s="139"/>
      <c r="K135" s="139"/>
      <c r="L135" s="139"/>
      <c r="M135" s="139"/>
      <c r="N135" s="139"/>
      <c r="O135" s="139"/>
      <c r="P135" s="139"/>
      <c r="Q135" s="139"/>
      <c r="R135" s="139"/>
      <c r="S135" s="139"/>
      <c r="T135" s="139"/>
      <c r="U135" s="139"/>
      <c r="V135" s="139"/>
      <c r="W135" s="139"/>
      <c r="X135" s="44"/>
      <c r="Y135" s="63"/>
      <c r="Z135" s="44"/>
    </row>
    <row r="136" spans="1:26" ht="15.75" x14ac:dyDescent="0.5">
      <c r="A136" s="44"/>
      <c r="B136" s="44"/>
      <c r="C136" s="63"/>
      <c r="D136" s="44"/>
      <c r="E136" s="139"/>
      <c r="F136" s="139"/>
      <c r="G136" s="139"/>
      <c r="H136" s="139"/>
      <c r="I136" s="139"/>
      <c r="J136" s="139"/>
      <c r="K136" s="139"/>
      <c r="L136" s="139"/>
      <c r="M136" s="139"/>
      <c r="N136" s="139"/>
      <c r="O136" s="139"/>
      <c r="P136" s="139"/>
      <c r="Q136" s="139"/>
      <c r="R136" s="139"/>
      <c r="S136" s="139"/>
      <c r="T136" s="139"/>
      <c r="U136" s="139"/>
      <c r="V136" s="139"/>
      <c r="W136" s="139"/>
      <c r="X136" s="44"/>
      <c r="Y136" s="63"/>
      <c r="Z136" s="44"/>
    </row>
    <row r="137" spans="1:26" ht="15.75" x14ac:dyDescent="0.5">
      <c r="A137" s="44"/>
      <c r="B137" s="44"/>
      <c r="C137" s="63"/>
      <c r="D137" s="44"/>
      <c r="E137" s="41"/>
      <c r="F137" s="41"/>
      <c r="G137" s="41"/>
      <c r="H137" s="41"/>
      <c r="I137" s="41"/>
      <c r="J137" s="41"/>
      <c r="K137" s="41"/>
      <c r="L137" s="41"/>
      <c r="M137" s="41"/>
      <c r="N137" s="41"/>
      <c r="O137" s="41"/>
      <c r="P137" s="41"/>
      <c r="Q137" s="41"/>
      <c r="R137" s="41"/>
      <c r="S137" s="41"/>
      <c r="T137" s="41"/>
      <c r="U137" s="41"/>
      <c r="V137" s="41"/>
      <c r="W137" s="41"/>
      <c r="X137" s="44"/>
      <c r="Y137" s="63"/>
      <c r="Z137" s="44"/>
    </row>
    <row r="138" spans="1:26" ht="15.75" x14ac:dyDescent="0.5">
      <c r="A138" s="44"/>
      <c r="B138" s="44"/>
      <c r="C138" s="63"/>
      <c r="D138" s="44"/>
      <c r="E138" s="41"/>
      <c r="F138" s="126"/>
      <c r="G138" s="127"/>
      <c r="H138" s="127"/>
      <c r="I138" s="127"/>
      <c r="J138" s="127"/>
      <c r="K138" s="127"/>
      <c r="L138" s="127"/>
      <c r="M138" s="127"/>
      <c r="N138" s="128"/>
      <c r="O138" s="41"/>
      <c r="P138" s="41"/>
      <c r="Q138" s="41"/>
      <c r="R138" s="41"/>
      <c r="S138" s="41"/>
      <c r="T138" s="41"/>
      <c r="U138" s="41"/>
      <c r="V138" s="41"/>
      <c r="W138" s="41"/>
      <c r="X138" s="44"/>
      <c r="Y138" s="63"/>
      <c r="Z138" s="44"/>
    </row>
    <row r="139" spans="1:26" ht="15.75" x14ac:dyDescent="0.5">
      <c r="A139" s="44"/>
      <c r="B139" s="44"/>
      <c r="C139" s="63"/>
      <c r="D139" s="44"/>
      <c r="E139" s="44"/>
      <c r="F139" s="129"/>
      <c r="G139" s="130"/>
      <c r="H139" s="130"/>
      <c r="I139" s="130"/>
      <c r="J139" s="130"/>
      <c r="K139" s="130"/>
      <c r="L139" s="130"/>
      <c r="M139" s="130"/>
      <c r="N139" s="131"/>
      <c r="O139" s="41"/>
      <c r="P139" s="44"/>
      <c r="Q139" s="44"/>
      <c r="R139" s="44"/>
      <c r="S139" s="44"/>
      <c r="T139" s="44"/>
      <c r="U139" s="44"/>
      <c r="V139" s="41"/>
      <c r="W139" s="41"/>
      <c r="X139" s="44"/>
      <c r="Y139" s="63"/>
      <c r="Z139" s="44"/>
    </row>
    <row r="140" spans="1:26" ht="15.75" x14ac:dyDescent="0.5">
      <c r="A140" s="44"/>
      <c r="B140" s="44"/>
      <c r="C140" s="63"/>
      <c r="D140" s="44"/>
      <c r="E140" s="44"/>
      <c r="F140" s="129"/>
      <c r="G140" s="130"/>
      <c r="H140" s="130"/>
      <c r="I140" s="130"/>
      <c r="J140" s="130"/>
      <c r="K140" s="130"/>
      <c r="L140" s="130"/>
      <c r="M140" s="130"/>
      <c r="N140" s="131"/>
      <c r="O140" s="41"/>
      <c r="P140" s="44"/>
      <c r="Q140" s="44"/>
      <c r="R140" s="44"/>
      <c r="S140" s="44"/>
      <c r="T140" s="44"/>
      <c r="U140" s="44"/>
      <c r="V140" s="41"/>
      <c r="W140" s="41"/>
      <c r="X140" s="44"/>
      <c r="Y140" s="63"/>
      <c r="Z140" s="44"/>
    </row>
    <row r="141" spans="1:26" ht="15.75" x14ac:dyDescent="0.5">
      <c r="A141" s="44"/>
      <c r="B141" s="44"/>
      <c r="C141" s="63"/>
      <c r="D141" s="44"/>
      <c r="E141" s="44"/>
      <c r="F141" s="129"/>
      <c r="G141" s="130"/>
      <c r="H141" s="130"/>
      <c r="I141" s="130"/>
      <c r="J141" s="130"/>
      <c r="K141" s="130"/>
      <c r="L141" s="130"/>
      <c r="M141" s="130"/>
      <c r="N141" s="131"/>
      <c r="O141" s="41"/>
      <c r="P141" s="44"/>
      <c r="Q141" s="44"/>
      <c r="R141" s="44"/>
      <c r="S141" s="44"/>
      <c r="T141" s="44"/>
      <c r="U141" s="44"/>
      <c r="V141" s="41"/>
      <c r="W141" s="41"/>
      <c r="X141" s="44"/>
      <c r="Y141" s="63"/>
      <c r="Z141" s="44"/>
    </row>
    <row r="142" spans="1:26" ht="15.75" x14ac:dyDescent="0.5">
      <c r="A142" s="44"/>
      <c r="B142" s="44"/>
      <c r="C142" s="63"/>
      <c r="D142" s="44"/>
      <c r="E142" s="44"/>
      <c r="F142" s="129"/>
      <c r="G142" s="130"/>
      <c r="H142" s="130"/>
      <c r="I142" s="130"/>
      <c r="J142" s="130"/>
      <c r="K142" s="130"/>
      <c r="L142" s="130"/>
      <c r="M142" s="130"/>
      <c r="N142" s="131"/>
      <c r="O142" s="41"/>
      <c r="P142" s="44"/>
      <c r="Q142" s="44"/>
      <c r="R142" s="44"/>
      <c r="S142" s="44"/>
      <c r="T142" s="44"/>
      <c r="U142" s="44"/>
      <c r="V142" s="41"/>
      <c r="W142" s="41"/>
      <c r="X142" s="44"/>
      <c r="Y142" s="63"/>
      <c r="Z142" s="44"/>
    </row>
    <row r="143" spans="1:26" ht="15.75" x14ac:dyDescent="0.5">
      <c r="A143" s="44"/>
      <c r="B143" s="44"/>
      <c r="C143" s="63"/>
      <c r="D143" s="44"/>
      <c r="E143" s="44"/>
      <c r="F143" s="129"/>
      <c r="G143" s="130"/>
      <c r="H143" s="130"/>
      <c r="I143" s="130"/>
      <c r="J143" s="130"/>
      <c r="K143" s="130"/>
      <c r="L143" s="130"/>
      <c r="M143" s="130"/>
      <c r="N143" s="131"/>
      <c r="O143" s="41"/>
      <c r="P143" s="44"/>
      <c r="Q143" s="44"/>
      <c r="R143" s="44"/>
      <c r="S143" s="44"/>
      <c r="T143" s="44"/>
      <c r="U143" s="44"/>
      <c r="V143" s="41"/>
      <c r="W143" s="41"/>
      <c r="X143" s="44"/>
      <c r="Y143" s="63"/>
      <c r="Z143" s="44"/>
    </row>
    <row r="144" spans="1:26" ht="15.75" x14ac:dyDescent="0.5">
      <c r="A144" s="44"/>
      <c r="B144" s="44"/>
      <c r="C144" s="63"/>
      <c r="D144" s="44"/>
      <c r="E144" s="44"/>
      <c r="F144" s="129"/>
      <c r="G144" s="130"/>
      <c r="H144" s="130"/>
      <c r="I144" s="130"/>
      <c r="J144" s="130"/>
      <c r="K144" s="130"/>
      <c r="L144" s="130"/>
      <c r="M144" s="130"/>
      <c r="N144" s="131"/>
      <c r="O144" s="41"/>
      <c r="P144" s="44"/>
      <c r="Q144" s="44"/>
      <c r="R144" s="44"/>
      <c r="S144" s="44"/>
      <c r="T144" s="44"/>
      <c r="U144" s="44"/>
      <c r="V144" s="41"/>
      <c r="W144" s="41"/>
      <c r="X144" s="44"/>
      <c r="Y144" s="63"/>
      <c r="Z144" s="44"/>
    </row>
    <row r="145" spans="1:26" ht="15.75" x14ac:dyDescent="0.5">
      <c r="A145" s="44"/>
      <c r="B145" s="44"/>
      <c r="C145" s="63"/>
      <c r="D145" s="44"/>
      <c r="E145" s="44"/>
      <c r="F145" s="129"/>
      <c r="G145" s="130"/>
      <c r="H145" s="130"/>
      <c r="I145" s="130"/>
      <c r="J145" s="130"/>
      <c r="K145" s="130"/>
      <c r="L145" s="130"/>
      <c r="M145" s="130"/>
      <c r="N145" s="131"/>
      <c r="O145" s="41"/>
      <c r="P145" s="44"/>
      <c r="Q145" s="44"/>
      <c r="R145" s="44"/>
      <c r="S145" s="44"/>
      <c r="T145" s="44"/>
      <c r="U145" s="44"/>
      <c r="V145" s="41"/>
      <c r="W145" s="41"/>
      <c r="X145" s="44"/>
      <c r="Y145" s="63"/>
      <c r="Z145" s="44"/>
    </row>
    <row r="146" spans="1:26" ht="15.75" x14ac:dyDescent="0.5">
      <c r="A146" s="44"/>
      <c r="B146" s="44"/>
      <c r="C146" s="63"/>
      <c r="D146" s="44"/>
      <c r="E146" s="44"/>
      <c r="F146" s="129"/>
      <c r="G146" s="130"/>
      <c r="H146" s="130"/>
      <c r="I146" s="130"/>
      <c r="J146" s="130"/>
      <c r="K146" s="130"/>
      <c r="L146" s="130"/>
      <c r="M146" s="130"/>
      <c r="N146" s="131"/>
      <c r="O146" s="41"/>
      <c r="P146" s="44"/>
      <c r="Q146" s="44"/>
      <c r="R146" s="44"/>
      <c r="S146" s="44"/>
      <c r="T146" s="44"/>
      <c r="U146" s="44"/>
      <c r="V146" s="41"/>
      <c r="W146" s="41"/>
      <c r="X146" s="44"/>
      <c r="Y146" s="63"/>
      <c r="Z146" s="44"/>
    </row>
    <row r="147" spans="1:26" ht="15.75" x14ac:dyDescent="0.5">
      <c r="A147" s="44"/>
      <c r="B147" s="44"/>
      <c r="C147" s="63"/>
      <c r="D147" s="44"/>
      <c r="E147" s="44"/>
      <c r="F147" s="129"/>
      <c r="G147" s="130"/>
      <c r="H147" s="130"/>
      <c r="I147" s="130"/>
      <c r="J147" s="130"/>
      <c r="K147" s="130"/>
      <c r="L147" s="130"/>
      <c r="M147" s="130"/>
      <c r="N147" s="131"/>
      <c r="O147" s="41"/>
      <c r="P147" s="44"/>
      <c r="Q147" s="44"/>
      <c r="R147" s="44"/>
      <c r="S147" s="44"/>
      <c r="T147" s="44"/>
      <c r="U147" s="44"/>
      <c r="V147" s="41"/>
      <c r="W147" s="41"/>
      <c r="X147" s="44"/>
      <c r="Y147" s="63"/>
      <c r="Z147" s="44"/>
    </row>
    <row r="148" spans="1:26" ht="15.75" x14ac:dyDescent="0.5">
      <c r="A148" s="44"/>
      <c r="B148" s="44"/>
      <c r="C148" s="63"/>
      <c r="D148" s="44"/>
      <c r="E148" s="44"/>
      <c r="F148" s="129"/>
      <c r="G148" s="130"/>
      <c r="H148" s="130"/>
      <c r="I148" s="130"/>
      <c r="J148" s="130"/>
      <c r="K148" s="130"/>
      <c r="L148" s="130"/>
      <c r="M148" s="130"/>
      <c r="N148" s="131"/>
      <c r="O148" s="41"/>
      <c r="P148" s="44"/>
      <c r="Q148" s="44"/>
      <c r="R148" s="44"/>
      <c r="S148" s="44"/>
      <c r="T148" s="44"/>
      <c r="U148" s="44"/>
      <c r="V148" s="41"/>
      <c r="W148" s="41"/>
      <c r="X148" s="44"/>
      <c r="Y148" s="63"/>
      <c r="Z148" s="44"/>
    </row>
    <row r="149" spans="1:26" ht="15.75" x14ac:dyDescent="0.5">
      <c r="A149" s="44"/>
      <c r="B149" s="44"/>
      <c r="C149" s="63"/>
      <c r="D149" s="44"/>
      <c r="E149" s="44"/>
      <c r="F149" s="129"/>
      <c r="G149" s="130"/>
      <c r="H149" s="130"/>
      <c r="I149" s="130"/>
      <c r="J149" s="130"/>
      <c r="K149" s="130"/>
      <c r="L149" s="130"/>
      <c r="M149" s="130"/>
      <c r="N149" s="131"/>
      <c r="O149" s="41"/>
      <c r="P149" s="44"/>
      <c r="Q149" s="44"/>
      <c r="R149" s="44"/>
      <c r="S149" s="44"/>
      <c r="T149" s="44"/>
      <c r="U149" s="44"/>
      <c r="V149" s="41"/>
      <c r="W149" s="41"/>
      <c r="X149" s="44"/>
      <c r="Y149" s="63"/>
      <c r="Z149" s="44"/>
    </row>
    <row r="150" spans="1:26" ht="15.75" x14ac:dyDescent="0.5">
      <c r="A150" s="44"/>
      <c r="B150" s="44"/>
      <c r="C150" s="63"/>
      <c r="D150" s="44"/>
      <c r="E150" s="44"/>
      <c r="F150" s="129"/>
      <c r="G150" s="130"/>
      <c r="H150" s="130"/>
      <c r="I150" s="130"/>
      <c r="J150" s="130"/>
      <c r="K150" s="130"/>
      <c r="L150" s="130"/>
      <c r="M150" s="130"/>
      <c r="N150" s="131"/>
      <c r="O150" s="41"/>
      <c r="P150" s="44"/>
      <c r="Q150" s="44"/>
      <c r="R150" s="44"/>
      <c r="S150" s="44"/>
      <c r="T150" s="44"/>
      <c r="U150" s="44"/>
      <c r="V150" s="41"/>
      <c r="W150" s="41"/>
      <c r="X150" s="44"/>
      <c r="Y150" s="63"/>
      <c r="Z150" s="44"/>
    </row>
    <row r="151" spans="1:26" ht="15.75" x14ac:dyDescent="0.5">
      <c r="A151" s="44"/>
      <c r="B151" s="44"/>
      <c r="C151" s="63"/>
      <c r="D151" s="44"/>
      <c r="E151" s="44"/>
      <c r="F151" s="129"/>
      <c r="G151" s="130"/>
      <c r="H151" s="130"/>
      <c r="I151" s="130"/>
      <c r="J151" s="130"/>
      <c r="K151" s="130"/>
      <c r="L151" s="130"/>
      <c r="M151" s="130"/>
      <c r="N151" s="131"/>
      <c r="O151" s="41"/>
      <c r="P151" s="44"/>
      <c r="Q151" s="44"/>
      <c r="R151" s="44"/>
      <c r="S151" s="44"/>
      <c r="T151" s="44"/>
      <c r="U151" s="44"/>
      <c r="V151" s="41"/>
      <c r="W151" s="41"/>
      <c r="X151" s="44"/>
      <c r="Y151" s="63"/>
      <c r="Z151" s="44"/>
    </row>
    <row r="152" spans="1:26" ht="15.75" x14ac:dyDescent="0.5">
      <c r="A152" s="44"/>
      <c r="B152" s="44"/>
      <c r="C152" s="63"/>
      <c r="D152" s="44"/>
      <c r="E152" s="44"/>
      <c r="F152" s="129"/>
      <c r="G152" s="130"/>
      <c r="H152" s="130"/>
      <c r="I152" s="130"/>
      <c r="J152" s="130"/>
      <c r="K152" s="130"/>
      <c r="L152" s="130"/>
      <c r="M152" s="130"/>
      <c r="N152" s="131"/>
      <c r="O152" s="41"/>
      <c r="P152" s="44"/>
      <c r="Q152" s="44"/>
      <c r="R152" s="44"/>
      <c r="S152" s="44"/>
      <c r="T152" s="44"/>
      <c r="U152" s="44"/>
      <c r="V152" s="41"/>
      <c r="W152" s="41"/>
      <c r="X152" s="44"/>
      <c r="Y152" s="63"/>
      <c r="Z152" s="44"/>
    </row>
    <row r="153" spans="1:26" ht="15.75" x14ac:dyDescent="0.5">
      <c r="A153" s="44"/>
      <c r="B153" s="44"/>
      <c r="C153" s="63"/>
      <c r="D153" s="44"/>
      <c r="E153" s="44"/>
      <c r="F153" s="129"/>
      <c r="G153" s="130"/>
      <c r="H153" s="130"/>
      <c r="I153" s="130"/>
      <c r="J153" s="130"/>
      <c r="K153" s="130"/>
      <c r="L153" s="130"/>
      <c r="M153" s="130"/>
      <c r="N153" s="131"/>
      <c r="O153" s="41"/>
      <c r="P153" s="44"/>
      <c r="Q153" s="44"/>
      <c r="R153" s="44"/>
      <c r="S153" s="44"/>
      <c r="T153" s="44"/>
      <c r="U153" s="44"/>
      <c r="V153" s="41"/>
      <c r="W153" s="41"/>
      <c r="X153" s="44"/>
      <c r="Y153" s="63"/>
      <c r="Z153" s="44"/>
    </row>
    <row r="154" spans="1:26" ht="15.75" x14ac:dyDescent="0.5">
      <c r="A154" s="44"/>
      <c r="B154" s="44"/>
      <c r="C154" s="63"/>
      <c r="D154" s="44"/>
      <c r="E154" s="44"/>
      <c r="F154" s="129"/>
      <c r="G154" s="130"/>
      <c r="H154" s="130"/>
      <c r="I154" s="130"/>
      <c r="J154" s="130"/>
      <c r="K154" s="130"/>
      <c r="L154" s="130"/>
      <c r="M154" s="130"/>
      <c r="N154" s="131"/>
      <c r="O154" s="41"/>
      <c r="P154" s="44"/>
      <c r="Q154" s="44"/>
      <c r="R154" s="44"/>
      <c r="S154" s="44"/>
      <c r="T154" s="44"/>
      <c r="U154" s="44"/>
      <c r="V154" s="41"/>
      <c r="W154" s="41"/>
      <c r="X154" s="44"/>
      <c r="Y154" s="63"/>
      <c r="Z154" s="44"/>
    </row>
    <row r="155" spans="1:26" ht="15.75" x14ac:dyDescent="0.5">
      <c r="A155" s="44"/>
      <c r="B155" s="44"/>
      <c r="C155" s="63"/>
      <c r="D155" s="44"/>
      <c r="E155" s="44"/>
      <c r="F155" s="132"/>
      <c r="G155" s="133"/>
      <c r="H155" s="133"/>
      <c r="I155" s="133"/>
      <c r="J155" s="133"/>
      <c r="K155" s="133"/>
      <c r="L155" s="133"/>
      <c r="M155" s="133"/>
      <c r="N155" s="134"/>
      <c r="O155" s="41"/>
      <c r="P155" s="44"/>
      <c r="Q155" s="44"/>
      <c r="R155" s="44"/>
      <c r="S155" s="44"/>
      <c r="T155" s="44"/>
      <c r="U155" s="44"/>
      <c r="V155" s="41"/>
      <c r="W155" s="41"/>
      <c r="X155" s="44"/>
      <c r="Y155" s="63"/>
      <c r="Z155" s="44"/>
    </row>
    <row r="156" spans="1:26" ht="15.75" x14ac:dyDescent="0.5">
      <c r="A156" s="44"/>
      <c r="B156" s="44"/>
      <c r="C156" s="63"/>
      <c r="D156" s="44"/>
      <c r="E156" s="44"/>
      <c r="F156" s="44"/>
      <c r="G156" s="44"/>
      <c r="H156" s="44"/>
      <c r="I156" s="44"/>
      <c r="J156" s="44"/>
      <c r="K156" s="41"/>
      <c r="L156" s="41"/>
      <c r="M156" s="41"/>
      <c r="N156" s="41"/>
      <c r="O156" s="41"/>
      <c r="P156" s="44"/>
      <c r="Q156" s="44"/>
      <c r="R156" s="44"/>
      <c r="S156" s="44"/>
      <c r="T156" s="44"/>
      <c r="U156" s="44"/>
      <c r="V156" s="41"/>
      <c r="W156" s="41"/>
      <c r="X156" s="44"/>
      <c r="Y156" s="63"/>
      <c r="Z156" s="44"/>
    </row>
    <row r="157" spans="1:26" ht="15.75" x14ac:dyDescent="0.5">
      <c r="A157" s="44"/>
      <c r="B157" s="44"/>
      <c r="C157" s="63"/>
      <c r="D157" s="44"/>
      <c r="E157" s="41"/>
      <c r="F157" s="41"/>
      <c r="G157" s="41"/>
      <c r="H157" s="41"/>
      <c r="I157" s="41"/>
      <c r="J157" s="41"/>
      <c r="K157" s="41"/>
      <c r="L157" s="41"/>
      <c r="M157" s="41"/>
      <c r="N157" s="41"/>
      <c r="O157" s="41"/>
      <c r="P157" s="41"/>
      <c r="Q157" s="41"/>
      <c r="R157" s="41"/>
      <c r="S157" s="41"/>
      <c r="T157" s="41"/>
      <c r="U157" s="41"/>
      <c r="V157" s="41"/>
      <c r="W157" s="41"/>
      <c r="X157" s="44"/>
      <c r="Y157" s="63"/>
      <c r="Z157" s="44"/>
    </row>
    <row r="158" spans="1:26" ht="15.75" x14ac:dyDescent="0.5">
      <c r="A158" s="44"/>
      <c r="B158" s="44"/>
      <c r="C158" s="63"/>
      <c r="D158" s="44"/>
      <c r="E158" s="43" t="s">
        <v>294</v>
      </c>
      <c r="F158" s="44"/>
      <c r="G158" s="44"/>
      <c r="H158" s="44"/>
      <c r="I158" s="44"/>
      <c r="J158" s="44"/>
      <c r="K158" s="44"/>
      <c r="L158" s="44"/>
      <c r="M158" s="44"/>
      <c r="N158" s="44"/>
      <c r="O158" s="44"/>
      <c r="P158" s="44"/>
      <c r="Q158" s="44"/>
      <c r="R158" s="44"/>
      <c r="S158" s="44"/>
      <c r="T158" s="44"/>
      <c r="U158" s="44"/>
      <c r="V158" s="44"/>
      <c r="W158" s="44"/>
      <c r="X158" s="44"/>
      <c r="Y158" s="63"/>
      <c r="Z158" s="44"/>
    </row>
    <row r="159" spans="1:26" ht="15.75" x14ac:dyDescent="0.5">
      <c r="A159" s="44"/>
      <c r="B159" s="44"/>
      <c r="C159" s="63"/>
      <c r="D159" s="44"/>
      <c r="E159" s="139" t="s">
        <v>295</v>
      </c>
      <c r="F159" s="139"/>
      <c r="G159" s="139"/>
      <c r="H159" s="139"/>
      <c r="I159" s="139"/>
      <c r="J159" s="139"/>
      <c r="K159" s="139"/>
      <c r="L159" s="139"/>
      <c r="M159" s="139"/>
      <c r="N159" s="139"/>
      <c r="O159" s="139"/>
      <c r="P159" s="139"/>
      <c r="Q159" s="139"/>
      <c r="R159" s="139"/>
      <c r="S159" s="139"/>
      <c r="T159" s="139"/>
      <c r="U159" s="139"/>
      <c r="V159" s="139"/>
      <c r="W159" s="139"/>
      <c r="X159" s="44"/>
      <c r="Y159" s="63"/>
      <c r="Z159" s="44"/>
    </row>
    <row r="160" spans="1:26" ht="15.75" x14ac:dyDescent="0.5">
      <c r="A160" s="44"/>
      <c r="B160" s="44"/>
      <c r="C160" s="63"/>
      <c r="D160" s="44"/>
      <c r="E160" s="139"/>
      <c r="F160" s="139"/>
      <c r="G160" s="139"/>
      <c r="H160" s="139"/>
      <c r="I160" s="139"/>
      <c r="J160" s="139"/>
      <c r="K160" s="139"/>
      <c r="L160" s="139"/>
      <c r="M160" s="139"/>
      <c r="N160" s="139"/>
      <c r="O160" s="139"/>
      <c r="P160" s="139"/>
      <c r="Q160" s="139"/>
      <c r="R160" s="139"/>
      <c r="S160" s="139"/>
      <c r="T160" s="139"/>
      <c r="U160" s="139"/>
      <c r="V160" s="139"/>
      <c r="W160" s="139"/>
      <c r="X160" s="44"/>
      <c r="Y160" s="63"/>
      <c r="Z160" s="44"/>
    </row>
    <row r="161" spans="1:26" ht="15.75" x14ac:dyDescent="0.5">
      <c r="A161" s="44"/>
      <c r="B161" s="44"/>
      <c r="C161" s="63"/>
      <c r="D161" s="44"/>
      <c r="E161" s="41"/>
      <c r="F161" s="41" t="s">
        <v>296</v>
      </c>
      <c r="G161" s="41"/>
      <c r="H161" s="139" t="s">
        <v>297</v>
      </c>
      <c r="I161" s="139"/>
      <c r="J161" s="139"/>
      <c r="K161" s="41"/>
      <c r="L161" s="41"/>
      <c r="M161" s="44"/>
      <c r="N161" s="41"/>
      <c r="O161" s="41"/>
      <c r="P161" s="44"/>
      <c r="Q161" s="44"/>
      <c r="R161" s="51"/>
      <c r="S161" s="51"/>
      <c r="T161" s="51"/>
      <c r="U161" s="41"/>
      <c r="V161" s="41"/>
      <c r="W161" s="41"/>
      <c r="X161" s="44"/>
      <c r="Y161" s="63"/>
      <c r="Z161" s="44"/>
    </row>
    <row r="162" spans="1:26" ht="15.75" customHeight="1" x14ac:dyDescent="0.5">
      <c r="A162" s="44"/>
      <c r="B162" s="44"/>
      <c r="C162" s="63"/>
      <c r="D162" s="44"/>
      <c r="E162" s="44"/>
      <c r="F162" s="44"/>
      <c r="G162" s="41"/>
      <c r="H162" s="41"/>
      <c r="I162" s="41"/>
      <c r="J162" s="41"/>
      <c r="K162" s="41"/>
      <c r="L162" s="44"/>
      <c r="M162" s="44"/>
      <c r="N162" s="44"/>
      <c r="O162" s="41"/>
      <c r="P162" s="44"/>
      <c r="Q162" s="44"/>
      <c r="R162" s="41"/>
      <c r="S162" s="41"/>
      <c r="T162" s="41"/>
      <c r="U162" s="41"/>
      <c r="V162" s="41"/>
      <c r="W162" s="41"/>
      <c r="X162" s="44"/>
      <c r="Y162" s="63"/>
      <c r="Z162" s="44"/>
    </row>
    <row r="163" spans="1:26" ht="15.75" x14ac:dyDescent="0.5">
      <c r="A163" s="44"/>
      <c r="B163" s="44"/>
      <c r="C163" s="63"/>
      <c r="D163" s="44"/>
      <c r="E163" s="41" t="s">
        <v>298</v>
      </c>
      <c r="F163" s="53" t="s">
        <v>242</v>
      </c>
      <c r="G163" s="41"/>
      <c r="H163" s="135">
        <v>5.9</v>
      </c>
      <c r="I163" s="136"/>
      <c r="J163" s="137"/>
      <c r="K163" s="41"/>
      <c r="L163" s="50"/>
      <c r="M163" s="44"/>
      <c r="N163" s="138"/>
      <c r="O163" s="138"/>
      <c r="P163" s="138"/>
      <c r="Q163" s="44"/>
      <c r="R163" s="56"/>
      <c r="S163" s="56"/>
      <c r="T163" s="56"/>
      <c r="U163" s="41"/>
      <c r="V163" s="41"/>
      <c r="W163" s="41"/>
      <c r="X163" s="44"/>
      <c r="Y163" s="63"/>
      <c r="Z163" s="44"/>
    </row>
    <row r="164" spans="1:26" ht="15.75" x14ac:dyDescent="0.5">
      <c r="A164" s="44"/>
      <c r="B164" s="44"/>
      <c r="C164" s="63"/>
      <c r="D164" s="44"/>
      <c r="E164" s="41"/>
      <c r="F164" s="41"/>
      <c r="G164" s="41"/>
      <c r="H164" s="60"/>
      <c r="I164" s="60"/>
      <c r="J164" s="60"/>
      <c r="K164" s="41"/>
      <c r="L164" s="50"/>
      <c r="M164" s="44"/>
      <c r="N164" s="41"/>
      <c r="O164" s="41"/>
      <c r="P164" s="44"/>
      <c r="Q164" s="44"/>
      <c r="R164" s="41"/>
      <c r="S164" s="41"/>
      <c r="T164" s="41"/>
      <c r="U164" s="41"/>
      <c r="V164" s="41"/>
      <c r="W164" s="41"/>
      <c r="X164" s="44"/>
      <c r="Y164" s="63"/>
      <c r="Z164" s="44"/>
    </row>
    <row r="165" spans="1:26" ht="15.75" x14ac:dyDescent="0.5">
      <c r="A165" s="44"/>
      <c r="B165" s="44"/>
      <c r="C165" s="63"/>
      <c r="D165" s="44"/>
      <c r="E165" s="41" t="s">
        <v>299</v>
      </c>
      <c r="F165" s="53" t="s">
        <v>242</v>
      </c>
      <c r="G165" s="41"/>
      <c r="H165" s="135">
        <v>5.6</v>
      </c>
      <c r="I165" s="136"/>
      <c r="J165" s="137"/>
      <c r="K165" s="41"/>
      <c r="L165" s="50"/>
      <c r="M165" s="44"/>
      <c r="N165" s="138"/>
      <c r="O165" s="138"/>
      <c r="P165" s="138"/>
      <c r="Q165" s="44"/>
      <c r="R165" s="56"/>
      <c r="S165" s="56"/>
      <c r="T165" s="56"/>
      <c r="U165" s="41"/>
      <c r="V165" s="41"/>
      <c r="W165" s="41"/>
      <c r="X165" s="44"/>
      <c r="Y165" s="63"/>
      <c r="Z165" s="44"/>
    </row>
    <row r="166" spans="1:26" ht="15.75" x14ac:dyDescent="0.5">
      <c r="A166" s="44"/>
      <c r="B166" s="44"/>
      <c r="C166" s="63"/>
      <c r="D166" s="44"/>
      <c r="E166" s="41"/>
      <c r="F166" s="41"/>
      <c r="G166" s="41"/>
      <c r="H166" s="60"/>
      <c r="I166" s="60"/>
      <c r="J166" s="60"/>
      <c r="K166" s="41"/>
      <c r="L166" s="50"/>
      <c r="M166" s="44"/>
      <c r="N166" s="41"/>
      <c r="O166" s="41"/>
      <c r="P166" s="44"/>
      <c r="Q166" s="44"/>
      <c r="R166" s="41"/>
      <c r="S166" s="41"/>
      <c r="T166" s="41"/>
      <c r="U166" s="41"/>
      <c r="V166" s="41"/>
      <c r="W166" s="41"/>
      <c r="X166" s="44"/>
      <c r="Y166" s="63"/>
      <c r="Z166" s="44"/>
    </row>
    <row r="167" spans="1:26" ht="15.75" x14ac:dyDescent="0.5">
      <c r="A167" s="44"/>
      <c r="B167" s="44"/>
      <c r="C167" s="63"/>
      <c r="D167" s="44"/>
      <c r="E167" s="41" t="s">
        <v>300</v>
      </c>
      <c r="F167" s="53" t="s">
        <v>103</v>
      </c>
      <c r="G167" s="41"/>
      <c r="H167" s="135">
        <v>5.55</v>
      </c>
      <c r="I167" s="136"/>
      <c r="J167" s="137"/>
      <c r="K167" s="41"/>
      <c r="L167" s="50"/>
      <c r="M167" s="44"/>
      <c r="N167" s="138"/>
      <c r="O167" s="138"/>
      <c r="P167" s="138"/>
      <c r="Q167" s="44"/>
      <c r="R167" s="56"/>
      <c r="S167" s="56"/>
      <c r="T167" s="56"/>
      <c r="U167" s="41"/>
      <c r="V167" s="41"/>
      <c r="W167" s="41"/>
      <c r="X167" s="44"/>
      <c r="Y167" s="63"/>
      <c r="Z167" s="44"/>
    </row>
    <row r="168" spans="1:26" ht="15.75" x14ac:dyDescent="0.5">
      <c r="A168" s="44"/>
      <c r="B168" s="44"/>
      <c r="C168" s="63"/>
      <c r="D168" s="44"/>
      <c r="E168" s="41"/>
      <c r="F168" s="41"/>
      <c r="G168" s="41"/>
      <c r="H168" s="60"/>
      <c r="I168" s="60"/>
      <c r="J168" s="60"/>
      <c r="K168" s="41"/>
      <c r="L168" s="44"/>
      <c r="M168" s="44"/>
      <c r="N168" s="44"/>
      <c r="O168" s="44"/>
      <c r="P168" s="44"/>
      <c r="Q168" s="44"/>
      <c r="R168" s="41"/>
      <c r="S168" s="41"/>
      <c r="T168" s="41"/>
      <c r="U168" s="41"/>
      <c r="V168" s="41"/>
      <c r="W168" s="41"/>
      <c r="X168" s="44"/>
      <c r="Y168" s="63"/>
      <c r="Z168" s="44"/>
    </row>
    <row r="169" spans="1:26" ht="15.75" x14ac:dyDescent="0.5">
      <c r="A169" s="44"/>
      <c r="B169" s="44"/>
      <c r="C169" s="63"/>
      <c r="D169" s="44"/>
      <c r="E169" s="50" t="s">
        <v>301</v>
      </c>
      <c r="F169" s="53" t="s">
        <v>189</v>
      </c>
      <c r="G169" s="55"/>
      <c r="H169" s="135">
        <v>-13.4</v>
      </c>
      <c r="I169" s="136"/>
      <c r="J169" s="137"/>
      <c r="K169" s="54"/>
      <c r="L169" s="54"/>
      <c r="M169" s="54"/>
      <c r="N169" s="44"/>
      <c r="O169" s="44"/>
      <c r="P169" s="44"/>
      <c r="Q169" s="44"/>
      <c r="R169" s="41"/>
      <c r="S169" s="41"/>
      <c r="T169" s="41"/>
      <c r="U169" s="41"/>
      <c r="V169" s="41"/>
      <c r="W169" s="41"/>
      <c r="X169" s="44"/>
      <c r="Y169" s="63"/>
      <c r="Z169" s="44"/>
    </row>
    <row r="170" spans="1:26" ht="15" customHeight="1" x14ac:dyDescent="0.5">
      <c r="A170" s="44"/>
      <c r="B170" s="44"/>
      <c r="C170" s="63"/>
      <c r="D170" s="44"/>
      <c r="E170" s="50"/>
      <c r="F170" s="44"/>
      <c r="G170" s="55"/>
      <c r="H170" s="60"/>
      <c r="I170" s="60"/>
      <c r="J170" s="60"/>
      <c r="K170" s="50"/>
      <c r="L170" s="50"/>
      <c r="M170" s="50"/>
      <c r="N170" s="44"/>
      <c r="O170" s="44"/>
      <c r="P170" s="44"/>
      <c r="Q170" s="44"/>
      <c r="R170" s="41"/>
      <c r="S170" s="41"/>
      <c r="T170" s="41"/>
      <c r="U170" s="41"/>
      <c r="V170" s="41"/>
      <c r="W170" s="41"/>
      <c r="X170" s="44"/>
      <c r="Y170" s="63"/>
      <c r="Z170" s="44"/>
    </row>
    <row r="171" spans="1:26" ht="15.75" x14ac:dyDescent="0.5">
      <c r="A171" s="44"/>
      <c r="B171" s="44"/>
      <c r="C171" s="63"/>
      <c r="D171" s="44"/>
      <c r="E171" s="50" t="s">
        <v>302</v>
      </c>
      <c r="F171" s="53" t="s">
        <v>164</v>
      </c>
      <c r="G171" s="55"/>
      <c r="H171" s="135">
        <v>2.7</v>
      </c>
      <c r="I171" s="136"/>
      <c r="J171" s="137"/>
      <c r="K171" s="54"/>
      <c r="L171" s="54"/>
      <c r="M171" s="54"/>
      <c r="N171" s="44"/>
      <c r="O171" s="44"/>
      <c r="P171" s="44"/>
      <c r="Q171" s="44"/>
      <c r="R171" s="41"/>
      <c r="S171" s="41"/>
      <c r="T171" s="41"/>
      <c r="U171" s="41"/>
      <c r="V171" s="41"/>
      <c r="W171" s="41"/>
      <c r="X171" s="44"/>
      <c r="Y171" s="63"/>
      <c r="Z171" s="44"/>
    </row>
    <row r="172" spans="1:26" ht="15" customHeight="1" x14ac:dyDescent="0.5">
      <c r="A172" s="44"/>
      <c r="B172" s="44"/>
      <c r="C172" s="63"/>
      <c r="D172" s="44"/>
      <c r="E172" s="50"/>
      <c r="F172" s="44"/>
      <c r="G172" s="55"/>
      <c r="H172" s="60"/>
      <c r="I172" s="60"/>
      <c r="J172" s="60"/>
      <c r="K172" s="50"/>
      <c r="L172" s="50"/>
      <c r="M172" s="50"/>
      <c r="N172" s="44"/>
      <c r="O172" s="44"/>
      <c r="P172" s="44"/>
      <c r="Q172" s="44"/>
      <c r="R172" s="41"/>
      <c r="S172" s="41"/>
      <c r="T172" s="41"/>
      <c r="U172" s="41"/>
      <c r="V172" s="41"/>
      <c r="W172" s="41"/>
      <c r="X172" s="44"/>
      <c r="Y172" s="63"/>
      <c r="Z172" s="44"/>
    </row>
    <row r="173" spans="1:26" ht="15.75" x14ac:dyDescent="0.5">
      <c r="A173" s="44"/>
      <c r="B173" s="44"/>
      <c r="C173" s="63"/>
      <c r="D173" s="44"/>
      <c r="E173" s="50" t="s">
        <v>303</v>
      </c>
      <c r="F173" s="53" t="s">
        <v>156</v>
      </c>
      <c r="G173" s="55"/>
      <c r="H173" s="135">
        <v>3.2</v>
      </c>
      <c r="I173" s="136"/>
      <c r="J173" s="137"/>
      <c r="K173" s="54"/>
      <c r="L173" s="54"/>
      <c r="M173" s="54"/>
      <c r="N173" s="44"/>
      <c r="O173" s="44"/>
      <c r="P173" s="44"/>
      <c r="Q173" s="44"/>
      <c r="R173" s="41"/>
      <c r="S173" s="41"/>
      <c r="T173" s="41"/>
      <c r="U173" s="41"/>
      <c r="V173" s="41"/>
      <c r="W173" s="41"/>
      <c r="X173" s="44"/>
      <c r="Y173" s="63"/>
      <c r="Z173" s="44"/>
    </row>
    <row r="174" spans="1:26" ht="15.75" x14ac:dyDescent="0.5">
      <c r="A174" s="44"/>
      <c r="B174" s="44"/>
      <c r="C174" s="63"/>
      <c r="D174" s="44"/>
      <c r="E174" s="41"/>
      <c r="F174" s="41"/>
      <c r="G174" s="41"/>
      <c r="H174" s="60"/>
      <c r="I174" s="60"/>
      <c r="J174" s="60"/>
      <c r="K174" s="41"/>
      <c r="L174" s="44"/>
      <c r="M174" s="44"/>
      <c r="N174" s="44"/>
      <c r="O174" s="44"/>
      <c r="P174" s="44"/>
      <c r="Q174" s="44"/>
      <c r="R174" s="41"/>
      <c r="S174" s="41"/>
      <c r="T174" s="41"/>
      <c r="U174" s="41"/>
      <c r="V174" s="41"/>
      <c r="W174" s="41"/>
      <c r="X174" s="44"/>
      <c r="Y174" s="63"/>
      <c r="Z174" s="44"/>
    </row>
    <row r="175" spans="1:26" ht="15.75" x14ac:dyDescent="0.5">
      <c r="A175" s="44"/>
      <c r="B175" s="44"/>
      <c r="C175" s="63"/>
      <c r="D175" s="44"/>
      <c r="E175" s="41"/>
      <c r="F175" s="41"/>
      <c r="G175" s="41"/>
      <c r="H175" s="41"/>
      <c r="I175" s="41"/>
      <c r="J175" s="41"/>
      <c r="K175" s="41"/>
      <c r="L175" s="41"/>
      <c r="M175" s="41"/>
      <c r="N175" s="41"/>
      <c r="O175" s="41"/>
      <c r="P175" s="41"/>
      <c r="Q175" s="41"/>
      <c r="R175" s="41"/>
      <c r="S175" s="41"/>
      <c r="T175" s="41"/>
      <c r="U175" s="41"/>
      <c r="V175" s="41"/>
      <c r="W175" s="41"/>
      <c r="X175" s="44"/>
      <c r="Y175" s="63"/>
      <c r="Z175" s="44"/>
    </row>
    <row r="176" spans="1:26" ht="15.75" x14ac:dyDescent="0.5">
      <c r="A176" s="44"/>
      <c r="B176" s="44"/>
      <c r="C176" s="63"/>
      <c r="D176" s="44"/>
      <c r="E176" s="41"/>
      <c r="F176" s="41"/>
      <c r="G176" s="41"/>
      <c r="H176" s="41"/>
      <c r="I176" s="41"/>
      <c r="J176" s="41"/>
      <c r="K176" s="41"/>
      <c r="L176" s="41"/>
      <c r="M176" s="41"/>
      <c r="N176" s="41"/>
      <c r="O176" s="41"/>
      <c r="P176" s="41"/>
      <c r="Q176" s="41"/>
      <c r="R176" s="41"/>
      <c r="S176" s="41"/>
      <c r="T176" s="41"/>
      <c r="U176" s="41"/>
      <c r="V176" s="41"/>
      <c r="W176" s="41"/>
      <c r="X176" s="44"/>
      <c r="Y176" s="63"/>
      <c r="Z176" s="44"/>
    </row>
    <row r="177" spans="1:26" ht="15.75" x14ac:dyDescent="0.5">
      <c r="A177" s="44"/>
      <c r="B177" s="44"/>
      <c r="C177" s="63"/>
      <c r="D177" s="44"/>
      <c r="E177" s="43" t="s">
        <v>304</v>
      </c>
      <c r="F177" s="44"/>
      <c r="G177" s="44"/>
      <c r="H177" s="44"/>
      <c r="I177" s="44"/>
      <c r="J177" s="44"/>
      <c r="K177" s="44"/>
      <c r="L177" s="44"/>
      <c r="M177" s="44"/>
      <c r="N177" s="44"/>
      <c r="O177" s="44"/>
      <c r="P177" s="44"/>
      <c r="Q177" s="44"/>
      <c r="R177" s="44"/>
      <c r="S177" s="44"/>
      <c r="T177" s="44"/>
      <c r="U177" s="44"/>
      <c r="V177" s="44"/>
      <c r="W177" s="44"/>
      <c r="X177" s="44"/>
      <c r="Y177" s="63"/>
      <c r="Z177" s="44"/>
    </row>
    <row r="178" spans="1:26" ht="15" customHeight="1" x14ac:dyDescent="0.5">
      <c r="A178" s="44"/>
      <c r="B178" s="44"/>
      <c r="C178" s="63"/>
      <c r="D178" s="44"/>
      <c r="E178" s="139" t="s">
        <v>305</v>
      </c>
      <c r="F178" s="139"/>
      <c r="G178" s="139"/>
      <c r="H178" s="139"/>
      <c r="I178" s="139"/>
      <c r="J178" s="139"/>
      <c r="K178" s="139"/>
      <c r="L178" s="139"/>
      <c r="M178" s="139"/>
      <c r="N178" s="139"/>
      <c r="O178" s="139"/>
      <c r="P178" s="139"/>
      <c r="Q178" s="139"/>
      <c r="R178" s="139"/>
      <c r="S178" s="139"/>
      <c r="T178" s="139"/>
      <c r="U178" s="139"/>
      <c r="V178" s="139"/>
      <c r="W178" s="139"/>
      <c r="X178" s="44"/>
      <c r="Y178" s="63"/>
      <c r="Z178" s="44"/>
    </row>
    <row r="179" spans="1:26" ht="15" customHeight="1" x14ac:dyDescent="0.5">
      <c r="A179" s="44"/>
      <c r="B179" s="44"/>
      <c r="C179" s="63"/>
      <c r="D179" s="44"/>
      <c r="E179" s="139"/>
      <c r="F179" s="139"/>
      <c r="G179" s="139"/>
      <c r="H179" s="139"/>
      <c r="I179" s="139"/>
      <c r="J179" s="139"/>
      <c r="K179" s="139"/>
      <c r="L179" s="139"/>
      <c r="M179" s="139"/>
      <c r="N179" s="139"/>
      <c r="O179" s="139"/>
      <c r="P179" s="139"/>
      <c r="Q179" s="139"/>
      <c r="R179" s="139"/>
      <c r="S179" s="139"/>
      <c r="T179" s="139"/>
      <c r="U179" s="139"/>
      <c r="V179" s="139"/>
      <c r="W179" s="139"/>
      <c r="X179" s="44"/>
      <c r="Y179" s="63"/>
      <c r="Z179" s="44"/>
    </row>
    <row r="180" spans="1:26" ht="15.75" customHeight="1" x14ac:dyDescent="0.5">
      <c r="A180" s="44"/>
      <c r="B180" s="44"/>
      <c r="C180" s="63"/>
      <c r="D180" s="44"/>
      <c r="E180" s="151"/>
      <c r="F180" s="151"/>
      <c r="G180" s="151"/>
      <c r="H180" s="151"/>
      <c r="I180" s="151"/>
      <c r="J180" s="151"/>
      <c r="K180" s="151"/>
      <c r="L180" s="151"/>
      <c r="M180" s="151"/>
      <c r="N180" s="151"/>
      <c r="O180" s="151"/>
      <c r="P180" s="151"/>
      <c r="Q180" s="151"/>
      <c r="R180" s="151"/>
      <c r="S180" s="151"/>
      <c r="T180" s="151"/>
      <c r="U180" s="151"/>
      <c r="V180" s="151"/>
      <c r="W180" s="151"/>
      <c r="X180" s="44"/>
      <c r="Y180" s="63"/>
      <c r="Z180" s="44"/>
    </row>
    <row r="181" spans="1:26" ht="15.75" x14ac:dyDescent="0.5">
      <c r="A181" s="44"/>
      <c r="B181" s="44"/>
      <c r="C181" s="63"/>
      <c r="D181" s="44"/>
      <c r="E181" s="108" t="s">
        <v>335</v>
      </c>
      <c r="F181" s="109"/>
      <c r="G181" s="109"/>
      <c r="H181" s="109"/>
      <c r="I181" s="109"/>
      <c r="J181" s="109"/>
      <c r="K181" s="109"/>
      <c r="L181" s="109"/>
      <c r="M181" s="109"/>
      <c r="N181" s="109"/>
      <c r="O181" s="109"/>
      <c r="P181" s="109"/>
      <c r="Q181" s="109"/>
      <c r="R181" s="109"/>
      <c r="S181" s="109"/>
      <c r="T181" s="109"/>
      <c r="U181" s="109"/>
      <c r="V181" s="109"/>
      <c r="W181" s="110"/>
      <c r="X181" s="44"/>
      <c r="Y181" s="63"/>
      <c r="Z181" s="44"/>
    </row>
    <row r="182" spans="1:26" ht="15.75" x14ac:dyDescent="0.5">
      <c r="A182" s="44"/>
      <c r="B182" s="44"/>
      <c r="C182" s="63"/>
      <c r="D182" s="44"/>
      <c r="E182" s="111"/>
      <c r="F182" s="112"/>
      <c r="G182" s="112"/>
      <c r="H182" s="112"/>
      <c r="I182" s="112"/>
      <c r="J182" s="112"/>
      <c r="K182" s="112"/>
      <c r="L182" s="112"/>
      <c r="M182" s="112"/>
      <c r="N182" s="112"/>
      <c r="O182" s="112"/>
      <c r="P182" s="112"/>
      <c r="Q182" s="112"/>
      <c r="R182" s="112"/>
      <c r="S182" s="112"/>
      <c r="T182" s="112"/>
      <c r="U182" s="112"/>
      <c r="V182" s="112"/>
      <c r="W182" s="113"/>
      <c r="X182" s="44"/>
      <c r="Y182" s="63"/>
      <c r="Z182" s="44"/>
    </row>
    <row r="183" spans="1:26" ht="15.75" x14ac:dyDescent="0.5">
      <c r="A183" s="44"/>
      <c r="B183" s="44"/>
      <c r="C183" s="63"/>
      <c r="D183" s="44"/>
      <c r="E183" s="111"/>
      <c r="F183" s="112"/>
      <c r="G183" s="112"/>
      <c r="H183" s="112"/>
      <c r="I183" s="112"/>
      <c r="J183" s="112"/>
      <c r="K183" s="112"/>
      <c r="L183" s="112"/>
      <c r="M183" s="112"/>
      <c r="N183" s="112"/>
      <c r="O183" s="112"/>
      <c r="P183" s="112"/>
      <c r="Q183" s="112"/>
      <c r="R183" s="112"/>
      <c r="S183" s="112"/>
      <c r="T183" s="112"/>
      <c r="U183" s="112"/>
      <c r="V183" s="112"/>
      <c r="W183" s="113"/>
      <c r="X183" s="44"/>
      <c r="Y183" s="63"/>
      <c r="Z183" s="44"/>
    </row>
    <row r="184" spans="1:26" ht="15.75" x14ac:dyDescent="0.5">
      <c r="A184" s="44"/>
      <c r="B184" s="44"/>
      <c r="C184" s="63"/>
      <c r="D184" s="44"/>
      <c r="E184" s="111"/>
      <c r="F184" s="112"/>
      <c r="G184" s="112"/>
      <c r="H184" s="112"/>
      <c r="I184" s="112"/>
      <c r="J184" s="112"/>
      <c r="K184" s="112"/>
      <c r="L184" s="112"/>
      <c r="M184" s="112"/>
      <c r="N184" s="112"/>
      <c r="O184" s="112"/>
      <c r="P184" s="112"/>
      <c r="Q184" s="112"/>
      <c r="R184" s="112"/>
      <c r="S184" s="112"/>
      <c r="T184" s="112"/>
      <c r="U184" s="112"/>
      <c r="V184" s="112"/>
      <c r="W184" s="113"/>
      <c r="X184" s="44"/>
      <c r="Y184" s="63"/>
      <c r="Z184" s="44"/>
    </row>
    <row r="185" spans="1:26" ht="15.75" x14ac:dyDescent="0.5">
      <c r="A185" s="44"/>
      <c r="B185" s="44"/>
      <c r="C185" s="63"/>
      <c r="D185" s="44"/>
      <c r="E185" s="111"/>
      <c r="F185" s="112"/>
      <c r="G185" s="112"/>
      <c r="H185" s="112"/>
      <c r="I185" s="112"/>
      <c r="J185" s="112"/>
      <c r="K185" s="112"/>
      <c r="L185" s="112"/>
      <c r="M185" s="112"/>
      <c r="N185" s="112"/>
      <c r="O185" s="112"/>
      <c r="P185" s="112"/>
      <c r="Q185" s="112"/>
      <c r="R185" s="112"/>
      <c r="S185" s="112"/>
      <c r="T185" s="112"/>
      <c r="U185" s="112"/>
      <c r="V185" s="112"/>
      <c r="W185" s="113"/>
      <c r="X185" s="44"/>
      <c r="Y185" s="63"/>
      <c r="Z185" s="44"/>
    </row>
    <row r="186" spans="1:26" ht="15.75" x14ac:dyDescent="0.5">
      <c r="A186" s="44"/>
      <c r="B186" s="44"/>
      <c r="C186" s="63"/>
      <c r="D186" s="44"/>
      <c r="E186" s="111"/>
      <c r="F186" s="112"/>
      <c r="G186" s="112"/>
      <c r="H186" s="112"/>
      <c r="I186" s="112"/>
      <c r="J186" s="112"/>
      <c r="K186" s="112"/>
      <c r="L186" s="112"/>
      <c r="M186" s="112"/>
      <c r="N186" s="112"/>
      <c r="O186" s="112"/>
      <c r="P186" s="112"/>
      <c r="Q186" s="112"/>
      <c r="R186" s="112"/>
      <c r="S186" s="112"/>
      <c r="T186" s="112"/>
      <c r="U186" s="112"/>
      <c r="V186" s="112"/>
      <c r="W186" s="113"/>
      <c r="X186" s="44"/>
      <c r="Y186" s="63"/>
      <c r="Z186" s="44"/>
    </row>
    <row r="187" spans="1:26" ht="15.75" x14ac:dyDescent="0.5">
      <c r="A187" s="44"/>
      <c r="B187" s="44"/>
      <c r="C187" s="63"/>
      <c r="D187" s="44"/>
      <c r="E187" s="111"/>
      <c r="F187" s="112"/>
      <c r="G187" s="112"/>
      <c r="H187" s="112"/>
      <c r="I187" s="112"/>
      <c r="J187" s="112"/>
      <c r="K187" s="112"/>
      <c r="L187" s="112"/>
      <c r="M187" s="112"/>
      <c r="N187" s="112"/>
      <c r="O187" s="112"/>
      <c r="P187" s="112"/>
      <c r="Q187" s="112"/>
      <c r="R187" s="112"/>
      <c r="S187" s="112"/>
      <c r="T187" s="112"/>
      <c r="U187" s="112"/>
      <c r="V187" s="112"/>
      <c r="W187" s="113"/>
      <c r="X187" s="44"/>
      <c r="Y187" s="63"/>
      <c r="Z187" s="44"/>
    </row>
    <row r="188" spans="1:26" ht="15.75" x14ac:dyDescent="0.5">
      <c r="A188" s="44"/>
      <c r="B188" s="44"/>
      <c r="C188" s="63"/>
      <c r="D188" s="44"/>
      <c r="E188" s="114"/>
      <c r="F188" s="115"/>
      <c r="G188" s="115"/>
      <c r="H188" s="115"/>
      <c r="I188" s="115"/>
      <c r="J188" s="115"/>
      <c r="K188" s="115"/>
      <c r="L188" s="115"/>
      <c r="M188" s="115"/>
      <c r="N188" s="115"/>
      <c r="O188" s="115"/>
      <c r="P188" s="115"/>
      <c r="Q188" s="115"/>
      <c r="R188" s="115"/>
      <c r="S188" s="115"/>
      <c r="T188" s="115"/>
      <c r="U188" s="115"/>
      <c r="V188" s="115"/>
      <c r="W188" s="116"/>
      <c r="X188" s="44"/>
      <c r="Y188" s="63"/>
      <c r="Z188" s="44"/>
    </row>
    <row r="189" spans="1:26" ht="15.75" x14ac:dyDescent="0.5">
      <c r="A189" s="44"/>
      <c r="B189" s="44"/>
      <c r="C189" s="63"/>
      <c r="D189" s="44"/>
      <c r="E189" s="49"/>
      <c r="F189" s="49"/>
      <c r="G189" s="49"/>
      <c r="H189" s="49"/>
      <c r="I189" s="49"/>
      <c r="J189" s="49"/>
      <c r="K189" s="49"/>
      <c r="L189" s="49"/>
      <c r="M189" s="49"/>
      <c r="N189" s="49"/>
      <c r="O189" s="49"/>
      <c r="P189" s="49"/>
      <c r="Q189" s="49"/>
      <c r="R189" s="49"/>
      <c r="S189" s="49"/>
      <c r="T189" s="49"/>
      <c r="U189" s="49"/>
      <c r="V189" s="49"/>
      <c r="W189" s="49"/>
      <c r="X189" s="44"/>
      <c r="Y189" s="63"/>
      <c r="Z189" s="44"/>
    </row>
    <row r="190" spans="1:26" ht="15.75" x14ac:dyDescent="0.5">
      <c r="A190" s="44"/>
      <c r="B190" s="44"/>
      <c r="C190" s="63"/>
      <c r="D190" s="44"/>
      <c r="E190" s="49"/>
      <c r="F190" s="49"/>
      <c r="G190" s="49"/>
      <c r="H190" s="49"/>
      <c r="I190" s="49"/>
      <c r="J190" s="49"/>
      <c r="K190" s="49"/>
      <c r="L190" s="49"/>
      <c r="M190" s="49"/>
      <c r="N190" s="49"/>
      <c r="O190" s="49"/>
      <c r="P190" s="49"/>
      <c r="Q190" s="49"/>
      <c r="R190" s="49"/>
      <c r="S190" s="49"/>
      <c r="T190" s="49"/>
      <c r="U190" s="49"/>
      <c r="V190" s="49"/>
      <c r="W190" s="49"/>
      <c r="X190" s="44"/>
      <c r="Y190" s="63"/>
      <c r="Z190" s="44"/>
    </row>
    <row r="191" spans="1:26" ht="15.75" x14ac:dyDescent="0.5">
      <c r="A191" s="44"/>
      <c r="B191" s="44"/>
      <c r="C191" s="63"/>
      <c r="D191" s="44"/>
      <c r="E191" s="43" t="s">
        <v>306</v>
      </c>
      <c r="F191" s="44"/>
      <c r="G191" s="44"/>
      <c r="H191" s="44"/>
      <c r="I191" s="44"/>
      <c r="J191" s="44"/>
      <c r="K191" s="44"/>
      <c r="L191" s="44"/>
      <c r="M191" s="44"/>
      <c r="N191" s="44"/>
      <c r="O191" s="44"/>
      <c r="P191" s="44"/>
      <c r="Q191" s="44"/>
      <c r="R191" s="44"/>
      <c r="S191" s="44"/>
      <c r="T191" s="44"/>
      <c r="U191" s="44"/>
      <c r="V191" s="44"/>
      <c r="W191" s="44"/>
      <c r="X191" s="44"/>
      <c r="Y191" s="63"/>
      <c r="Z191" s="44"/>
    </row>
    <row r="192" spans="1:26" ht="15" customHeight="1" x14ac:dyDescent="0.5">
      <c r="A192" s="44"/>
      <c r="B192" s="44"/>
      <c r="C192" s="63"/>
      <c r="D192" s="44"/>
      <c r="E192" s="139" t="s">
        <v>307</v>
      </c>
      <c r="F192" s="139"/>
      <c r="G192" s="139"/>
      <c r="H192" s="139"/>
      <c r="I192" s="139"/>
      <c r="J192" s="139"/>
      <c r="K192" s="139"/>
      <c r="L192" s="139"/>
      <c r="M192" s="139"/>
      <c r="N192" s="139"/>
      <c r="O192" s="139"/>
      <c r="P192" s="139"/>
      <c r="Q192" s="139"/>
      <c r="R192" s="139"/>
      <c r="S192" s="139"/>
      <c r="T192" s="139"/>
      <c r="U192" s="139"/>
      <c r="V192" s="139"/>
      <c r="W192" s="139"/>
      <c r="X192" s="44"/>
      <c r="Y192" s="63"/>
      <c r="Z192" s="44"/>
    </row>
    <row r="193" spans="1:26" ht="15.75" x14ac:dyDescent="0.5">
      <c r="A193" s="44"/>
      <c r="B193" s="44"/>
      <c r="C193" s="63"/>
      <c r="D193" s="44"/>
      <c r="E193" s="139"/>
      <c r="F193" s="139"/>
      <c r="G193" s="139"/>
      <c r="H193" s="139"/>
      <c r="I193" s="139"/>
      <c r="J193" s="139"/>
      <c r="K193" s="139"/>
      <c r="L193" s="139"/>
      <c r="M193" s="139"/>
      <c r="N193" s="139"/>
      <c r="O193" s="139"/>
      <c r="P193" s="139"/>
      <c r="Q193" s="139"/>
      <c r="R193" s="139"/>
      <c r="S193" s="139"/>
      <c r="T193" s="139"/>
      <c r="U193" s="139"/>
      <c r="V193" s="139"/>
      <c r="W193" s="139"/>
      <c r="X193" s="44"/>
      <c r="Y193" s="63"/>
      <c r="Z193" s="44"/>
    </row>
    <row r="194" spans="1:26" ht="15.75" x14ac:dyDescent="0.5">
      <c r="A194" s="44"/>
      <c r="B194" s="44"/>
      <c r="C194" s="63"/>
      <c r="D194" s="44"/>
      <c r="E194" s="139"/>
      <c r="F194" s="139"/>
      <c r="G194" s="139"/>
      <c r="H194" s="139"/>
      <c r="I194" s="139"/>
      <c r="J194" s="139"/>
      <c r="K194" s="139"/>
      <c r="L194" s="139"/>
      <c r="M194" s="139"/>
      <c r="N194" s="139"/>
      <c r="O194" s="139"/>
      <c r="P194" s="139"/>
      <c r="Q194" s="139"/>
      <c r="R194" s="139"/>
      <c r="S194" s="139"/>
      <c r="T194" s="139"/>
      <c r="U194" s="139"/>
      <c r="V194" s="139"/>
      <c r="W194" s="139"/>
      <c r="X194" s="44"/>
      <c r="Y194" s="63"/>
      <c r="Z194" s="44"/>
    </row>
    <row r="195" spans="1:26" ht="15.75" x14ac:dyDescent="0.5">
      <c r="A195" s="44"/>
      <c r="B195" s="44"/>
      <c r="C195" s="63"/>
      <c r="D195" s="44"/>
      <c r="E195" s="41"/>
      <c r="F195" s="41"/>
      <c r="G195" s="41"/>
      <c r="H195" s="41"/>
      <c r="I195" s="41"/>
      <c r="J195" s="41"/>
      <c r="K195" s="41"/>
      <c r="L195" s="41"/>
      <c r="M195" s="41"/>
      <c r="N195" s="41"/>
      <c r="O195" s="41"/>
      <c r="P195" s="41"/>
      <c r="Q195" s="41"/>
      <c r="R195" s="41"/>
      <c r="S195" s="41"/>
      <c r="T195" s="41"/>
      <c r="U195" s="41"/>
      <c r="V195" s="41"/>
      <c r="W195" s="41"/>
      <c r="X195" s="44"/>
      <c r="Y195" s="63"/>
      <c r="Z195" s="44"/>
    </row>
    <row r="196" spans="1:26" ht="15.75" x14ac:dyDescent="0.5">
      <c r="A196" s="44"/>
      <c r="B196" s="44"/>
      <c r="C196" s="63"/>
      <c r="D196" s="44"/>
      <c r="E196" s="108" t="s">
        <v>342</v>
      </c>
      <c r="F196" s="109"/>
      <c r="G196" s="109"/>
      <c r="H196" s="109"/>
      <c r="I196" s="109"/>
      <c r="J196" s="109"/>
      <c r="K196" s="109"/>
      <c r="L196" s="109"/>
      <c r="M196" s="109"/>
      <c r="N196" s="109"/>
      <c r="O196" s="109"/>
      <c r="P196" s="109"/>
      <c r="Q196" s="109"/>
      <c r="R196" s="109"/>
      <c r="S196" s="109"/>
      <c r="T196" s="109"/>
      <c r="U196" s="109"/>
      <c r="V196" s="109"/>
      <c r="W196" s="110"/>
      <c r="X196" s="44"/>
      <c r="Y196" s="63"/>
      <c r="Z196" s="44"/>
    </row>
    <row r="197" spans="1:26" ht="15.75" x14ac:dyDescent="0.5">
      <c r="A197" s="44"/>
      <c r="B197" s="44"/>
      <c r="C197" s="63"/>
      <c r="D197" s="44"/>
      <c r="E197" s="111"/>
      <c r="F197" s="112"/>
      <c r="G197" s="112"/>
      <c r="H197" s="112"/>
      <c r="I197" s="112"/>
      <c r="J197" s="112"/>
      <c r="K197" s="112"/>
      <c r="L197" s="112"/>
      <c r="M197" s="112"/>
      <c r="N197" s="112"/>
      <c r="O197" s="112"/>
      <c r="P197" s="112"/>
      <c r="Q197" s="112"/>
      <c r="R197" s="112"/>
      <c r="S197" s="112"/>
      <c r="T197" s="112"/>
      <c r="U197" s="112"/>
      <c r="V197" s="112"/>
      <c r="W197" s="113"/>
      <c r="X197" s="44"/>
      <c r="Y197" s="63"/>
      <c r="Z197" s="44"/>
    </row>
    <row r="198" spans="1:26" ht="15.75" x14ac:dyDescent="0.5">
      <c r="A198" s="44"/>
      <c r="B198" s="44"/>
      <c r="C198" s="63"/>
      <c r="D198" s="44"/>
      <c r="E198" s="111"/>
      <c r="F198" s="112"/>
      <c r="G198" s="112"/>
      <c r="H198" s="112"/>
      <c r="I198" s="112"/>
      <c r="J198" s="112"/>
      <c r="K198" s="112"/>
      <c r="L198" s="112"/>
      <c r="M198" s="112"/>
      <c r="N198" s="112"/>
      <c r="O198" s="112"/>
      <c r="P198" s="112"/>
      <c r="Q198" s="112"/>
      <c r="R198" s="112"/>
      <c r="S198" s="112"/>
      <c r="T198" s="112"/>
      <c r="U198" s="112"/>
      <c r="V198" s="112"/>
      <c r="W198" s="113"/>
      <c r="X198" s="44"/>
      <c r="Y198" s="63"/>
      <c r="Z198" s="44"/>
    </row>
    <row r="199" spans="1:26" ht="15.75" x14ac:dyDescent="0.5">
      <c r="A199" s="44"/>
      <c r="B199" s="44"/>
      <c r="C199" s="63"/>
      <c r="D199" s="44"/>
      <c r="E199" s="111"/>
      <c r="F199" s="112"/>
      <c r="G199" s="112"/>
      <c r="H199" s="112"/>
      <c r="I199" s="112"/>
      <c r="J199" s="112"/>
      <c r="K199" s="112"/>
      <c r="L199" s="112"/>
      <c r="M199" s="112"/>
      <c r="N199" s="112"/>
      <c r="O199" s="112"/>
      <c r="P199" s="112"/>
      <c r="Q199" s="112"/>
      <c r="R199" s="112"/>
      <c r="S199" s="112"/>
      <c r="T199" s="112"/>
      <c r="U199" s="112"/>
      <c r="V199" s="112"/>
      <c r="W199" s="113"/>
      <c r="X199" s="44"/>
      <c r="Y199" s="63"/>
      <c r="Z199" s="44"/>
    </row>
    <row r="200" spans="1:26" ht="15.75" x14ac:dyDescent="0.5">
      <c r="A200" s="44"/>
      <c r="B200" s="44"/>
      <c r="C200" s="63"/>
      <c r="D200" s="44"/>
      <c r="E200" s="111"/>
      <c r="F200" s="112"/>
      <c r="G200" s="112"/>
      <c r="H200" s="112"/>
      <c r="I200" s="112"/>
      <c r="J200" s="112"/>
      <c r="K200" s="112"/>
      <c r="L200" s="112"/>
      <c r="M200" s="112"/>
      <c r="N200" s="112"/>
      <c r="O200" s="112"/>
      <c r="P200" s="112"/>
      <c r="Q200" s="112"/>
      <c r="R200" s="112"/>
      <c r="S200" s="112"/>
      <c r="T200" s="112"/>
      <c r="U200" s="112"/>
      <c r="V200" s="112"/>
      <c r="W200" s="113"/>
      <c r="X200" s="44"/>
      <c r="Y200" s="63"/>
      <c r="Z200" s="44"/>
    </row>
    <row r="201" spans="1:26" ht="15.75" x14ac:dyDescent="0.5">
      <c r="A201" s="44"/>
      <c r="B201" s="44"/>
      <c r="C201" s="63"/>
      <c r="D201" s="44"/>
      <c r="E201" s="111"/>
      <c r="F201" s="112"/>
      <c r="G201" s="112"/>
      <c r="H201" s="112"/>
      <c r="I201" s="112"/>
      <c r="J201" s="112"/>
      <c r="K201" s="112"/>
      <c r="L201" s="112"/>
      <c r="M201" s="112"/>
      <c r="N201" s="112"/>
      <c r="O201" s="112"/>
      <c r="P201" s="112"/>
      <c r="Q201" s="112"/>
      <c r="R201" s="112"/>
      <c r="S201" s="112"/>
      <c r="T201" s="112"/>
      <c r="U201" s="112"/>
      <c r="V201" s="112"/>
      <c r="W201" s="113"/>
      <c r="X201" s="44"/>
      <c r="Y201" s="63"/>
      <c r="Z201" s="44"/>
    </row>
    <row r="202" spans="1:26" ht="15.75" x14ac:dyDescent="0.5">
      <c r="A202" s="44"/>
      <c r="B202" s="44"/>
      <c r="C202" s="63"/>
      <c r="D202" s="44"/>
      <c r="E202" s="111"/>
      <c r="F202" s="112"/>
      <c r="G202" s="112"/>
      <c r="H202" s="112"/>
      <c r="I202" s="112"/>
      <c r="J202" s="112"/>
      <c r="K202" s="112"/>
      <c r="L202" s="112"/>
      <c r="M202" s="112"/>
      <c r="N202" s="112"/>
      <c r="O202" s="112"/>
      <c r="P202" s="112"/>
      <c r="Q202" s="112"/>
      <c r="R202" s="112"/>
      <c r="S202" s="112"/>
      <c r="T202" s="112"/>
      <c r="U202" s="112"/>
      <c r="V202" s="112"/>
      <c r="W202" s="113"/>
      <c r="X202" s="44"/>
      <c r="Y202" s="63"/>
      <c r="Z202" s="44"/>
    </row>
    <row r="203" spans="1:26" ht="15.75" x14ac:dyDescent="0.5">
      <c r="A203" s="44"/>
      <c r="B203" s="44"/>
      <c r="C203" s="63"/>
      <c r="D203" s="44"/>
      <c r="E203" s="114"/>
      <c r="F203" s="115"/>
      <c r="G203" s="115"/>
      <c r="H203" s="115"/>
      <c r="I203" s="115"/>
      <c r="J203" s="115"/>
      <c r="K203" s="115"/>
      <c r="L203" s="115"/>
      <c r="M203" s="115"/>
      <c r="N203" s="115"/>
      <c r="O203" s="115"/>
      <c r="P203" s="115"/>
      <c r="Q203" s="115"/>
      <c r="R203" s="115"/>
      <c r="S203" s="115"/>
      <c r="T203" s="115"/>
      <c r="U203" s="115"/>
      <c r="V203" s="115"/>
      <c r="W203" s="116"/>
      <c r="X203" s="44"/>
      <c r="Y203" s="63"/>
      <c r="Z203" s="44"/>
    </row>
    <row r="204" spans="1:26" ht="15.75" x14ac:dyDescent="0.5">
      <c r="A204" s="44"/>
      <c r="B204" s="44"/>
      <c r="C204" s="63"/>
      <c r="D204" s="44"/>
      <c r="E204" s="44"/>
      <c r="F204" s="44"/>
      <c r="G204" s="44"/>
      <c r="H204" s="44"/>
      <c r="I204" s="44"/>
      <c r="J204" s="44"/>
      <c r="K204" s="44"/>
      <c r="L204" s="44"/>
      <c r="M204" s="44"/>
      <c r="N204" s="44"/>
      <c r="O204" s="44"/>
      <c r="P204" s="44"/>
      <c r="Q204" s="44"/>
      <c r="R204" s="44"/>
      <c r="S204" s="44"/>
      <c r="T204" s="44"/>
      <c r="U204" s="44"/>
      <c r="V204" s="44"/>
      <c r="W204" s="44"/>
      <c r="X204" s="44"/>
      <c r="Y204" s="63"/>
      <c r="Z204" s="44"/>
    </row>
    <row r="205" spans="1:26" ht="15.75" x14ac:dyDescent="0.5">
      <c r="A205" s="44"/>
      <c r="B205" s="44"/>
      <c r="C205" s="63"/>
      <c r="D205" s="44"/>
      <c r="E205" s="44"/>
      <c r="F205" s="44"/>
      <c r="G205" s="44"/>
      <c r="H205" s="44"/>
      <c r="I205" s="44"/>
      <c r="J205" s="44"/>
      <c r="K205" s="44"/>
      <c r="L205" s="44"/>
      <c r="M205" s="44"/>
      <c r="N205" s="44"/>
      <c r="O205" s="44"/>
      <c r="P205" s="44"/>
      <c r="Q205" s="44"/>
      <c r="R205" s="44"/>
      <c r="S205" s="44"/>
      <c r="T205" s="44"/>
      <c r="U205" s="44"/>
      <c r="V205" s="44"/>
      <c r="W205" s="44"/>
      <c r="X205" s="44"/>
      <c r="Y205" s="63"/>
      <c r="Z205" s="44"/>
    </row>
    <row r="206" spans="1:26" ht="15.75" x14ac:dyDescent="0.5">
      <c r="A206" s="44"/>
      <c r="B206" s="44"/>
      <c r="C206" s="63"/>
      <c r="D206" s="44"/>
      <c r="E206" s="43" t="s">
        <v>308</v>
      </c>
      <c r="F206" s="44"/>
      <c r="G206" s="44"/>
      <c r="H206" s="44"/>
      <c r="I206" s="44"/>
      <c r="J206" s="44"/>
      <c r="K206" s="44"/>
      <c r="L206" s="44"/>
      <c r="M206" s="44"/>
      <c r="N206" s="44"/>
      <c r="O206" s="44"/>
      <c r="P206" s="44"/>
      <c r="Q206" s="44"/>
      <c r="R206" s="44"/>
      <c r="S206" s="44"/>
      <c r="T206" s="44"/>
      <c r="U206" s="44"/>
      <c r="V206" s="44"/>
      <c r="W206" s="44"/>
      <c r="X206" s="44"/>
      <c r="Y206" s="63"/>
      <c r="Z206" s="44"/>
    </row>
    <row r="207" spans="1:26" ht="15.75" x14ac:dyDescent="0.5">
      <c r="A207" s="44"/>
      <c r="B207" s="44"/>
      <c r="C207" s="63"/>
      <c r="D207" s="44"/>
      <c r="E207" s="139" t="s">
        <v>309</v>
      </c>
      <c r="F207" s="139"/>
      <c r="G207" s="139"/>
      <c r="H207" s="139"/>
      <c r="I207" s="139"/>
      <c r="J207" s="139"/>
      <c r="K207" s="139"/>
      <c r="L207" s="139"/>
      <c r="M207" s="139"/>
      <c r="N207" s="139"/>
      <c r="O207" s="139"/>
      <c r="P207" s="139"/>
      <c r="Q207" s="139"/>
      <c r="R207" s="139"/>
      <c r="S207" s="139"/>
      <c r="T207" s="139"/>
      <c r="U207" s="139"/>
      <c r="V207" s="139"/>
      <c r="W207" s="139"/>
      <c r="X207" s="44"/>
      <c r="Y207" s="63"/>
      <c r="Z207" s="44"/>
    </row>
    <row r="208" spans="1:26" ht="15.75" x14ac:dyDescent="0.5">
      <c r="A208" s="44"/>
      <c r="B208" s="44"/>
      <c r="C208" s="63"/>
      <c r="D208" s="44"/>
      <c r="E208" s="139"/>
      <c r="F208" s="139"/>
      <c r="G208" s="139"/>
      <c r="H208" s="139"/>
      <c r="I208" s="139"/>
      <c r="J208" s="139"/>
      <c r="K208" s="139"/>
      <c r="L208" s="139"/>
      <c r="M208" s="139"/>
      <c r="N208" s="139"/>
      <c r="O208" s="139"/>
      <c r="P208" s="139"/>
      <c r="Q208" s="139"/>
      <c r="R208" s="139"/>
      <c r="S208" s="139"/>
      <c r="T208" s="139"/>
      <c r="U208" s="139"/>
      <c r="V208" s="139"/>
      <c r="W208" s="139"/>
      <c r="X208" s="44"/>
      <c r="Y208" s="63"/>
      <c r="Z208" s="44"/>
    </row>
    <row r="209" spans="1:26" ht="15.75" x14ac:dyDescent="0.5">
      <c r="A209" s="44"/>
      <c r="B209" s="44"/>
      <c r="C209" s="63"/>
      <c r="D209" s="44"/>
      <c r="E209" s="108" t="s">
        <v>341</v>
      </c>
      <c r="F209" s="109"/>
      <c r="G209" s="109"/>
      <c r="H209" s="109"/>
      <c r="I209" s="109"/>
      <c r="J209" s="109"/>
      <c r="K209" s="109"/>
      <c r="L209" s="109"/>
      <c r="M209" s="109"/>
      <c r="N209" s="109"/>
      <c r="O209" s="109"/>
      <c r="P209" s="109"/>
      <c r="Q209" s="109"/>
      <c r="R209" s="109"/>
      <c r="S209" s="109"/>
      <c r="T209" s="109"/>
      <c r="U209" s="109"/>
      <c r="V209" s="109"/>
      <c r="W209" s="110"/>
      <c r="X209" s="44"/>
      <c r="Y209" s="63"/>
      <c r="Z209" s="44"/>
    </row>
    <row r="210" spans="1:26" ht="15.75" x14ac:dyDescent="0.5">
      <c r="A210" s="44"/>
      <c r="B210" s="44"/>
      <c r="C210" s="63"/>
      <c r="D210" s="44"/>
      <c r="E210" s="111"/>
      <c r="F210" s="112"/>
      <c r="G210" s="112"/>
      <c r="H210" s="112"/>
      <c r="I210" s="112"/>
      <c r="J210" s="112"/>
      <c r="K210" s="112"/>
      <c r="L210" s="112"/>
      <c r="M210" s="112"/>
      <c r="N210" s="112"/>
      <c r="O210" s="112"/>
      <c r="P210" s="112"/>
      <c r="Q210" s="112"/>
      <c r="R210" s="112"/>
      <c r="S210" s="112"/>
      <c r="T210" s="112"/>
      <c r="U210" s="112"/>
      <c r="V210" s="112"/>
      <c r="W210" s="113"/>
      <c r="X210" s="44"/>
      <c r="Y210" s="63"/>
      <c r="Z210" s="44"/>
    </row>
    <row r="211" spans="1:26" ht="15.75" x14ac:dyDescent="0.5">
      <c r="A211" s="44"/>
      <c r="B211" s="44"/>
      <c r="C211" s="63"/>
      <c r="D211" s="44"/>
      <c r="E211" s="111"/>
      <c r="F211" s="112"/>
      <c r="G211" s="112"/>
      <c r="H211" s="112"/>
      <c r="I211" s="112"/>
      <c r="J211" s="112"/>
      <c r="K211" s="112"/>
      <c r="L211" s="112"/>
      <c r="M211" s="112"/>
      <c r="N211" s="112"/>
      <c r="O211" s="112"/>
      <c r="P211" s="112"/>
      <c r="Q211" s="112"/>
      <c r="R211" s="112"/>
      <c r="S211" s="112"/>
      <c r="T211" s="112"/>
      <c r="U211" s="112"/>
      <c r="V211" s="112"/>
      <c r="W211" s="113"/>
      <c r="X211" s="44"/>
      <c r="Y211" s="63"/>
      <c r="Z211" s="44"/>
    </row>
    <row r="212" spans="1:26" ht="15.75" x14ac:dyDescent="0.5">
      <c r="A212" s="44"/>
      <c r="B212" s="44"/>
      <c r="C212" s="63"/>
      <c r="D212" s="44"/>
      <c r="E212" s="111"/>
      <c r="F212" s="112"/>
      <c r="G212" s="112"/>
      <c r="H212" s="112"/>
      <c r="I212" s="112"/>
      <c r="J212" s="112"/>
      <c r="K212" s="112"/>
      <c r="L212" s="112"/>
      <c r="M212" s="112"/>
      <c r="N212" s="112"/>
      <c r="O212" s="112"/>
      <c r="P212" s="112"/>
      <c r="Q212" s="112"/>
      <c r="R212" s="112"/>
      <c r="S212" s="112"/>
      <c r="T212" s="112"/>
      <c r="U212" s="112"/>
      <c r="V212" s="112"/>
      <c r="W212" s="113"/>
      <c r="X212" s="44"/>
      <c r="Y212" s="63"/>
      <c r="Z212" s="44"/>
    </row>
    <row r="213" spans="1:26" ht="15.75" x14ac:dyDescent="0.5">
      <c r="A213" s="44"/>
      <c r="B213" s="44"/>
      <c r="C213" s="63"/>
      <c r="D213" s="44"/>
      <c r="E213" s="111"/>
      <c r="F213" s="112"/>
      <c r="G213" s="112"/>
      <c r="H213" s="112"/>
      <c r="I213" s="112"/>
      <c r="J213" s="112"/>
      <c r="K213" s="112"/>
      <c r="L213" s="112"/>
      <c r="M213" s="112"/>
      <c r="N213" s="112"/>
      <c r="O213" s="112"/>
      <c r="P213" s="112"/>
      <c r="Q213" s="112"/>
      <c r="R213" s="112"/>
      <c r="S213" s="112"/>
      <c r="T213" s="112"/>
      <c r="U213" s="112"/>
      <c r="V213" s="112"/>
      <c r="W213" s="113"/>
      <c r="X213" s="44"/>
      <c r="Y213" s="63"/>
      <c r="Z213" s="44"/>
    </row>
    <row r="214" spans="1:26" ht="15.75" x14ac:dyDescent="0.5">
      <c r="A214" s="44"/>
      <c r="B214" s="44"/>
      <c r="C214" s="63"/>
      <c r="D214" s="44"/>
      <c r="E214" s="111"/>
      <c r="F214" s="112"/>
      <c r="G214" s="112"/>
      <c r="H214" s="112"/>
      <c r="I214" s="112"/>
      <c r="J214" s="112"/>
      <c r="K214" s="112"/>
      <c r="L214" s="112"/>
      <c r="M214" s="112"/>
      <c r="N214" s="112"/>
      <c r="O214" s="112"/>
      <c r="P214" s="112"/>
      <c r="Q214" s="112"/>
      <c r="R214" s="112"/>
      <c r="S214" s="112"/>
      <c r="T214" s="112"/>
      <c r="U214" s="112"/>
      <c r="V214" s="112"/>
      <c r="W214" s="113"/>
      <c r="X214" s="44"/>
      <c r="Y214" s="63"/>
      <c r="Z214" s="44"/>
    </row>
    <row r="215" spans="1:26" ht="15.75" x14ac:dyDescent="0.5">
      <c r="A215" s="44"/>
      <c r="B215" s="44"/>
      <c r="C215" s="63"/>
      <c r="D215" s="44"/>
      <c r="E215" s="111"/>
      <c r="F215" s="112"/>
      <c r="G215" s="112"/>
      <c r="H215" s="112"/>
      <c r="I215" s="112"/>
      <c r="J215" s="112"/>
      <c r="K215" s="112"/>
      <c r="L215" s="112"/>
      <c r="M215" s="112"/>
      <c r="N215" s="112"/>
      <c r="O215" s="112"/>
      <c r="P215" s="112"/>
      <c r="Q215" s="112"/>
      <c r="R215" s="112"/>
      <c r="S215" s="112"/>
      <c r="T215" s="112"/>
      <c r="U215" s="112"/>
      <c r="V215" s="112"/>
      <c r="W215" s="113"/>
      <c r="X215" s="44"/>
      <c r="Y215" s="63"/>
      <c r="Z215" s="44"/>
    </row>
    <row r="216" spans="1:26" ht="15.75" x14ac:dyDescent="0.5">
      <c r="A216" s="44"/>
      <c r="B216" s="44"/>
      <c r="C216" s="63"/>
      <c r="D216" s="44"/>
      <c r="E216" s="114"/>
      <c r="F216" s="115"/>
      <c r="G216" s="115"/>
      <c r="H216" s="115"/>
      <c r="I216" s="115"/>
      <c r="J216" s="115"/>
      <c r="K216" s="115"/>
      <c r="L216" s="115"/>
      <c r="M216" s="115"/>
      <c r="N216" s="115"/>
      <c r="O216" s="115"/>
      <c r="P216" s="115"/>
      <c r="Q216" s="115"/>
      <c r="R216" s="115"/>
      <c r="S216" s="115"/>
      <c r="T216" s="115"/>
      <c r="U216" s="115"/>
      <c r="V216" s="115"/>
      <c r="W216" s="116"/>
      <c r="X216" s="44"/>
      <c r="Y216" s="63"/>
      <c r="Z216" s="44"/>
    </row>
    <row r="217" spans="1:26" ht="15.75" x14ac:dyDescent="0.5">
      <c r="A217" s="44"/>
      <c r="B217" s="44"/>
      <c r="C217" s="63"/>
      <c r="D217" s="44"/>
      <c r="E217" s="44"/>
      <c r="F217" s="44"/>
      <c r="G217" s="44"/>
      <c r="H217" s="44"/>
      <c r="I217" s="44"/>
      <c r="J217" s="44"/>
      <c r="K217" s="44"/>
      <c r="L217" s="44"/>
      <c r="M217" s="44"/>
      <c r="N217" s="44"/>
      <c r="O217" s="44"/>
      <c r="P217" s="44"/>
      <c r="Q217" s="44"/>
      <c r="R217" s="44"/>
      <c r="S217" s="44"/>
      <c r="T217" s="44"/>
      <c r="U217" s="44"/>
      <c r="V217" s="44"/>
      <c r="W217" s="44"/>
      <c r="X217" s="44"/>
      <c r="Y217" s="63"/>
      <c r="Z217" s="44"/>
    </row>
    <row r="218" spans="1:26" ht="15.75" x14ac:dyDescent="0.5">
      <c r="A218" s="44"/>
      <c r="B218" s="44"/>
      <c r="C218" s="63"/>
      <c r="D218" s="44"/>
      <c r="E218" s="44"/>
      <c r="F218" s="44"/>
      <c r="G218" s="44"/>
      <c r="H218" s="44"/>
      <c r="I218" s="44"/>
      <c r="J218" s="44"/>
      <c r="K218" s="44"/>
      <c r="L218" s="44"/>
      <c r="M218" s="44"/>
      <c r="N218" s="44"/>
      <c r="O218" s="44"/>
      <c r="P218" s="44"/>
      <c r="Q218" s="44"/>
      <c r="R218" s="44"/>
      <c r="S218" s="44"/>
      <c r="T218" s="44"/>
      <c r="U218" s="44"/>
      <c r="V218" s="44"/>
      <c r="W218" s="44"/>
      <c r="X218" s="44"/>
      <c r="Y218" s="63"/>
      <c r="Z218" s="44"/>
    </row>
    <row r="219" spans="1:26" ht="11.25" customHeight="1" x14ac:dyDescent="0.45">
      <c r="C219" s="1"/>
      <c r="Y219" s="1"/>
    </row>
    <row r="220" spans="1:26" ht="2.25" customHeight="1" x14ac:dyDescent="0.45">
      <c r="C220" s="1"/>
      <c r="D220" s="1"/>
      <c r="E220" s="1"/>
      <c r="F220" s="1"/>
      <c r="G220" s="1"/>
      <c r="H220" s="1"/>
      <c r="I220" s="1"/>
      <c r="J220" s="1"/>
      <c r="K220" s="1"/>
      <c r="L220" s="1"/>
      <c r="M220" s="1"/>
      <c r="N220" s="1"/>
      <c r="O220" s="1"/>
      <c r="P220" s="1"/>
      <c r="Q220" s="1"/>
      <c r="R220" s="1"/>
      <c r="S220" s="1"/>
      <c r="T220" s="1"/>
      <c r="U220" s="1"/>
      <c r="V220" s="1"/>
      <c r="W220" s="1"/>
      <c r="X220" s="1"/>
      <c r="Y220" s="1"/>
    </row>
    <row r="221" spans="1:26" x14ac:dyDescent="0.45">
      <c r="H221" s="4"/>
      <c r="I221" s="4"/>
      <c r="J221" s="4"/>
      <c r="K221" s="4"/>
      <c r="L221" s="4"/>
      <c r="M221" s="4"/>
      <c r="N221" s="4"/>
      <c r="O221" s="4"/>
      <c r="P221" s="4"/>
      <c r="Q221" s="4"/>
      <c r="R221" s="4"/>
      <c r="S221" s="4"/>
      <c r="T221" s="4"/>
      <c r="U221" s="4"/>
      <c r="V221" s="21"/>
      <c r="W221" s="21"/>
    </row>
    <row r="227" spans="5:23" x14ac:dyDescent="0.45">
      <c r="E227" s="3"/>
      <c r="F227" s="3"/>
      <c r="G227" s="3"/>
      <c r="H227" s="14"/>
      <c r="I227" s="15"/>
      <c r="J227" s="16"/>
      <c r="K227" s="16"/>
      <c r="L227" s="17"/>
      <c r="N227" s="18"/>
      <c r="O227" s="3"/>
      <c r="P227" s="3"/>
      <c r="Q227" s="3"/>
      <c r="R227" s="3"/>
      <c r="S227" s="3"/>
      <c r="T227" s="3"/>
      <c r="U227" s="3"/>
      <c r="V227" s="3"/>
      <c r="W227" s="3"/>
    </row>
    <row r="228" spans="5:23" x14ac:dyDescent="0.45">
      <c r="E228" s="3"/>
      <c r="F228" s="3"/>
      <c r="G228" s="3"/>
      <c r="H228" s="14"/>
      <c r="I228" s="15"/>
      <c r="J228" s="16"/>
      <c r="K228" s="16"/>
      <c r="L228" s="17"/>
      <c r="N228" s="18"/>
      <c r="O228" s="3"/>
      <c r="P228" s="3"/>
      <c r="Q228" s="3"/>
      <c r="R228" s="3"/>
      <c r="S228" s="3"/>
      <c r="T228" s="3"/>
      <c r="U228" s="3"/>
      <c r="V228" s="3"/>
      <c r="W228" s="3"/>
    </row>
    <row r="229" spans="5:23" x14ac:dyDescent="0.45">
      <c r="E229" s="3"/>
      <c r="F229" s="3"/>
      <c r="G229" s="3"/>
      <c r="H229" s="14"/>
      <c r="I229" s="15"/>
      <c r="J229" s="16"/>
      <c r="K229" s="16"/>
      <c r="L229" s="17"/>
      <c r="N229" s="18"/>
      <c r="W229" s="19"/>
    </row>
    <row r="230" spans="5:23" x14ac:dyDescent="0.45">
      <c r="E230" s="3"/>
      <c r="F230" s="3"/>
      <c r="G230" s="3"/>
      <c r="H230" s="14"/>
      <c r="I230" s="15"/>
      <c r="J230" s="16"/>
      <c r="K230" s="16"/>
      <c r="L230" s="17"/>
      <c r="N230" s="18"/>
      <c r="W230" s="3"/>
    </row>
    <row r="231" spans="5:23" x14ac:dyDescent="0.45">
      <c r="E231" s="3"/>
      <c r="F231" s="3"/>
      <c r="G231" s="3"/>
      <c r="H231" s="14"/>
      <c r="I231" s="15"/>
      <c r="J231" s="16"/>
      <c r="K231" s="16"/>
      <c r="L231" s="17"/>
      <c r="N231" s="18"/>
      <c r="W231" s="19"/>
    </row>
    <row r="232" spans="5:23" x14ac:dyDescent="0.45">
      <c r="W232" s="3"/>
    </row>
    <row r="233" spans="5:23" x14ac:dyDescent="0.45">
      <c r="W233" s="19"/>
    </row>
    <row r="236" spans="5:23" x14ac:dyDescent="0.45">
      <c r="O236" s="20"/>
      <c r="P236" s="20"/>
      <c r="Q236" s="20"/>
      <c r="R236" s="20"/>
      <c r="S236" s="20"/>
      <c r="T236" s="20"/>
      <c r="U236" s="20"/>
    </row>
  </sheetData>
  <autoFilter ref="E23:W73" xr:uid="{FDEB1C24-D4A0-4BBA-AA8C-15AE7DE3480C}">
    <sortState xmlns:xlrd2="http://schemas.microsoft.com/office/spreadsheetml/2017/richdata2" ref="E24:W73">
      <sortCondition ref="F23:F73"/>
    </sortState>
  </autoFilter>
  <sortState xmlns:xlrd2="http://schemas.microsoft.com/office/spreadsheetml/2017/richdata2" ref="E24:V73">
    <sortCondition ref="H24:H73"/>
  </sortState>
  <mergeCells count="60">
    <mergeCell ref="L79:N79"/>
    <mergeCell ref="H95:J95"/>
    <mergeCell ref="E159:W160"/>
    <mergeCell ref="E178:W180"/>
    <mergeCell ref="E192:W194"/>
    <mergeCell ref="H111:J111"/>
    <mergeCell ref="H115:J115"/>
    <mergeCell ref="L81:N81"/>
    <mergeCell ref="L83:N83"/>
    <mergeCell ref="L85:N85"/>
    <mergeCell ref="L87:N87"/>
    <mergeCell ref="L89:N89"/>
    <mergeCell ref="H89:J89"/>
    <mergeCell ref="H117:J117"/>
    <mergeCell ref="L110:N111"/>
    <mergeCell ref="H119:J119"/>
    <mergeCell ref="E12:W16"/>
    <mergeCell ref="F17:I17"/>
    <mergeCell ref="E135:W136"/>
    <mergeCell ref="E21:W21"/>
    <mergeCell ref="E77:W77"/>
    <mergeCell ref="H97:J97"/>
    <mergeCell ref="H87:J87"/>
    <mergeCell ref="H93:J93"/>
    <mergeCell ref="H91:J91"/>
    <mergeCell ref="H81:J81"/>
    <mergeCell ref="H79:J79"/>
    <mergeCell ref="H83:J83"/>
    <mergeCell ref="H85:J85"/>
    <mergeCell ref="L107:N107"/>
    <mergeCell ref="H109:J109"/>
    <mergeCell ref="L109:N109"/>
    <mergeCell ref="H121:J121"/>
    <mergeCell ref="L97:N97"/>
    <mergeCell ref="L91:N91"/>
    <mergeCell ref="L93:N93"/>
    <mergeCell ref="L95:N95"/>
    <mergeCell ref="E101:W101"/>
    <mergeCell ref="H103:J103"/>
    <mergeCell ref="L103:N103"/>
    <mergeCell ref="H105:J105"/>
    <mergeCell ref="L105:N105"/>
    <mergeCell ref="H113:J113"/>
    <mergeCell ref="H107:J107"/>
    <mergeCell ref="E209:W216"/>
    <mergeCell ref="F124:U131"/>
    <mergeCell ref="F138:N155"/>
    <mergeCell ref="H169:J169"/>
    <mergeCell ref="H171:J171"/>
    <mergeCell ref="H173:J173"/>
    <mergeCell ref="N167:P167"/>
    <mergeCell ref="N165:P165"/>
    <mergeCell ref="N163:P163"/>
    <mergeCell ref="H163:J163"/>
    <mergeCell ref="H161:J161"/>
    <mergeCell ref="H165:J165"/>
    <mergeCell ref="H167:J167"/>
    <mergeCell ref="E207:W208"/>
    <mergeCell ref="E196:W203"/>
    <mergeCell ref="E181:W188"/>
  </mergeCells>
  <dataValidations count="1">
    <dataValidation type="list" allowBlank="1" showInputMessage="1" showErrorMessage="1" sqref="F163 F165 F167 N163 N165 N167 F169:G169 F173 F171" xr:uid="{4DC7336E-2808-4896-92BF-3442DD74393E}">
      <formula1>$F$24:$F$73</formula1>
    </dataValidation>
  </dataValidations>
  <pageMargins left="0.7" right="0.7" top="0.78740157499999996" bottom="0.78740157499999996" header="0.3" footer="0.3"/>
  <pageSetup paperSize="9" orientation="portrait" horizontalDpi="4294967293"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C3B4B-8A8D-4B21-A62A-141F1ED59504}">
  <dimension ref="A1:BC50"/>
  <sheetViews>
    <sheetView showGridLines="0" topLeftCell="AC14" zoomScale="68" zoomScaleNormal="85" workbookViewId="0">
      <selection activeCell="AJ49" sqref="AJ49"/>
    </sheetView>
  </sheetViews>
  <sheetFormatPr baseColWidth="10" defaultColWidth="8.86328125" defaultRowHeight="15.75" x14ac:dyDescent="0.5"/>
  <cols>
    <col min="1" max="1" width="2.86328125" style="44" customWidth="1"/>
    <col min="2" max="2" width="2.73046875" style="44" hidden="1" customWidth="1"/>
    <col min="3" max="3" width="0.3984375" style="44" customWidth="1"/>
    <col min="4" max="4" width="2.1328125" style="44" customWidth="1"/>
    <col min="5" max="5" width="14.1328125" style="69" customWidth="1"/>
    <col min="6" max="55" width="19.265625" style="67" customWidth="1"/>
    <col min="56" max="16384" width="8.86328125" style="44"/>
  </cols>
  <sheetData>
    <row r="1" spans="3:55" customFormat="1" ht="14.25" x14ac:dyDescent="0.45"/>
    <row r="2" spans="3:55" customFormat="1" ht="14.25" x14ac:dyDescent="0.45"/>
    <row r="3" spans="3:55" customFormat="1" ht="14.25" x14ac:dyDescent="0.45"/>
    <row r="4" spans="3:55" customFormat="1" ht="14.25" x14ac:dyDescent="0.45">
      <c r="X4" s="5"/>
      <c r="BC4" t="s">
        <v>0</v>
      </c>
    </row>
    <row r="5" spans="3:55" customFormat="1" ht="14.25" x14ac:dyDescent="0.45">
      <c r="X5" s="5"/>
      <c r="BC5" t="s">
        <v>1</v>
      </c>
    </row>
    <row r="6" spans="3:55" ht="2.25" customHeight="1" x14ac:dyDescent="0.5">
      <c r="C6" s="63"/>
      <c r="D6" s="63"/>
      <c r="E6" s="72"/>
      <c r="F6" s="68"/>
      <c r="G6" s="68"/>
      <c r="H6" s="68"/>
      <c r="I6" s="68"/>
      <c r="J6" s="68"/>
      <c r="K6" s="68"/>
      <c r="L6" s="68"/>
      <c r="M6" s="68"/>
      <c r="N6" s="68"/>
      <c r="O6" s="68"/>
      <c r="P6" s="68"/>
      <c r="Q6" s="68"/>
      <c r="R6" s="68"/>
      <c r="S6" s="68"/>
      <c r="T6" s="68"/>
      <c r="U6" s="68"/>
      <c r="V6" s="68"/>
      <c r="W6" s="68"/>
      <c r="X6" s="68"/>
      <c r="Y6" s="68"/>
      <c r="Z6" s="68"/>
      <c r="AA6" s="68"/>
      <c r="AB6" s="68"/>
      <c r="AC6" s="68"/>
      <c r="AD6" s="68"/>
      <c r="AE6" s="68"/>
      <c r="AF6" s="68"/>
      <c r="AG6" s="68"/>
      <c r="AH6" s="68"/>
      <c r="AI6" s="68"/>
      <c r="AJ6" s="68"/>
      <c r="AK6" s="68"/>
      <c r="AL6" s="68"/>
      <c r="AM6" s="68"/>
      <c r="AN6" s="68"/>
      <c r="AO6" s="68"/>
      <c r="AP6" s="68"/>
      <c r="AQ6" s="68"/>
      <c r="AR6" s="68"/>
      <c r="AS6" s="68"/>
      <c r="AT6" s="68"/>
      <c r="AU6" s="68"/>
      <c r="AV6" s="68"/>
      <c r="AW6" s="68"/>
      <c r="AX6" s="68"/>
      <c r="AY6" s="68"/>
      <c r="AZ6" s="68"/>
      <c r="BA6" s="68"/>
      <c r="BB6" s="68"/>
      <c r="BC6" s="68"/>
    </row>
    <row r="7" spans="3:55" ht="2.25" customHeight="1" x14ac:dyDescent="0.5"/>
    <row r="8" spans="3:55" ht="21" x14ac:dyDescent="0.5">
      <c r="C8" s="63"/>
      <c r="D8" s="63"/>
      <c r="E8" s="76" t="s">
        <v>2</v>
      </c>
      <c r="F8" s="77"/>
      <c r="G8" s="77"/>
      <c r="H8" s="68"/>
      <c r="I8" s="68"/>
      <c r="J8" s="68"/>
      <c r="K8" s="68"/>
      <c r="L8" s="68"/>
      <c r="M8" s="68"/>
      <c r="N8" s="68"/>
      <c r="O8" s="68"/>
      <c r="P8" s="68"/>
      <c r="Q8" s="68"/>
      <c r="R8" s="68"/>
      <c r="S8" s="68"/>
      <c r="T8" s="68"/>
      <c r="U8" s="68"/>
      <c r="V8" s="68"/>
      <c r="W8" s="68"/>
      <c r="X8" s="68"/>
      <c r="Y8" s="68"/>
      <c r="Z8" s="68"/>
      <c r="AA8" s="68"/>
      <c r="AB8" s="68"/>
      <c r="AC8" s="68"/>
      <c r="AD8" s="68"/>
      <c r="AE8" s="68"/>
      <c r="AF8" s="68"/>
      <c r="AG8" s="68"/>
      <c r="AH8" s="68"/>
      <c r="AI8" s="68"/>
      <c r="AJ8" s="68"/>
      <c r="AK8" s="68"/>
      <c r="AL8" s="68"/>
      <c r="AM8" s="68"/>
      <c r="AN8" s="68"/>
      <c r="AO8" s="68"/>
      <c r="AP8" s="68"/>
      <c r="AQ8" s="68"/>
      <c r="AR8" s="68"/>
      <c r="AS8" s="68"/>
      <c r="AT8" s="68"/>
      <c r="AU8" s="68"/>
      <c r="AV8" s="68"/>
      <c r="AW8" s="68"/>
      <c r="AX8" s="68"/>
      <c r="AY8" s="68"/>
      <c r="AZ8" s="68"/>
      <c r="BA8" s="68"/>
      <c r="BB8" s="68"/>
      <c r="BC8" s="68"/>
    </row>
    <row r="9" spans="3:55" ht="2.25" customHeight="1" x14ac:dyDescent="0.5"/>
    <row r="10" spans="3:55" ht="2.25" customHeight="1" x14ac:dyDescent="0.5">
      <c r="C10" s="63"/>
      <c r="D10" s="63"/>
      <c r="E10" s="72"/>
      <c r="F10" s="68"/>
      <c r="G10" s="68"/>
      <c r="H10" s="68"/>
      <c r="I10" s="68"/>
      <c r="J10" s="68"/>
      <c r="K10" s="68"/>
      <c r="L10" s="68"/>
      <c r="M10" s="68"/>
      <c r="N10" s="68"/>
      <c r="O10" s="68"/>
      <c r="P10" s="68"/>
      <c r="Q10" s="68"/>
      <c r="R10" s="68"/>
      <c r="S10" s="68"/>
      <c r="T10" s="68"/>
      <c r="U10" s="68"/>
      <c r="V10" s="68"/>
      <c r="W10" s="68"/>
      <c r="X10" s="68"/>
      <c r="Y10" s="68"/>
      <c r="Z10" s="68"/>
      <c r="AA10" s="68"/>
      <c r="AB10" s="68"/>
      <c r="AC10" s="68"/>
      <c r="AD10" s="68"/>
      <c r="AE10" s="68"/>
      <c r="AF10" s="68"/>
      <c r="AG10" s="68"/>
      <c r="AH10" s="68"/>
      <c r="AI10" s="68"/>
      <c r="AJ10" s="68"/>
      <c r="AK10" s="68"/>
      <c r="AL10" s="68"/>
      <c r="AM10" s="68"/>
      <c r="AN10" s="68"/>
      <c r="AO10" s="68"/>
      <c r="AP10" s="68"/>
      <c r="AQ10" s="68"/>
      <c r="AR10" s="68"/>
      <c r="AS10" s="68"/>
      <c r="AT10" s="68"/>
      <c r="AU10" s="68"/>
      <c r="AV10" s="68"/>
      <c r="AW10" s="68"/>
      <c r="AX10" s="68"/>
      <c r="AY10" s="68"/>
      <c r="AZ10" s="68"/>
      <c r="BA10" s="68"/>
      <c r="BB10" s="68"/>
      <c r="BC10" s="68"/>
    </row>
    <row r="11" spans="3:55" ht="11.25" customHeight="1" x14ac:dyDescent="0.5">
      <c r="C11" s="63"/>
    </row>
    <row r="12" spans="3:55" ht="11.25" customHeight="1" x14ac:dyDescent="0.5">
      <c r="C12" s="63"/>
      <c r="E12" s="139" t="s">
        <v>310</v>
      </c>
      <c r="F12" s="139"/>
      <c r="G12" s="139"/>
      <c r="H12" s="139"/>
      <c r="I12" s="139"/>
      <c r="J12" s="139"/>
      <c r="K12" s="139"/>
      <c r="L12" s="139"/>
      <c r="M12" s="139"/>
      <c r="N12" s="139"/>
      <c r="O12" s="139"/>
      <c r="P12" s="139"/>
      <c r="Q12" s="139"/>
      <c r="R12" s="139"/>
      <c r="S12" s="139"/>
      <c r="T12" s="139"/>
      <c r="U12" s="139"/>
      <c r="V12" s="139"/>
      <c r="W12" s="139"/>
      <c r="X12" s="139"/>
      <c r="Y12" s="139"/>
      <c r="Z12" s="139"/>
      <c r="AA12" s="139"/>
      <c r="AB12" s="139"/>
      <c r="AC12" s="70"/>
      <c r="AD12" s="70"/>
      <c r="AE12" s="70"/>
      <c r="AF12" s="70"/>
      <c r="AG12" s="70"/>
      <c r="AH12" s="70"/>
      <c r="AI12" s="70"/>
      <c r="AJ12" s="70"/>
      <c r="AK12" s="70"/>
      <c r="AL12" s="70"/>
      <c r="AM12" s="70"/>
      <c r="AN12" s="70"/>
      <c r="AO12" s="70"/>
      <c r="AP12" s="70"/>
      <c r="AQ12" s="70"/>
      <c r="AR12" s="70"/>
      <c r="AS12" s="70"/>
      <c r="AT12" s="70"/>
      <c r="AU12" s="70"/>
      <c r="AV12" s="70"/>
      <c r="AW12" s="70"/>
      <c r="AX12" s="70"/>
      <c r="AY12" s="70"/>
      <c r="AZ12" s="70"/>
      <c r="BA12" s="70"/>
      <c r="BB12" s="70"/>
      <c r="BC12" s="70"/>
    </row>
    <row r="13" spans="3:55" ht="11.25" customHeight="1" x14ac:dyDescent="0.5">
      <c r="C13" s="63"/>
      <c r="E13" s="139"/>
      <c r="F13" s="139"/>
      <c r="G13" s="139"/>
      <c r="H13" s="139"/>
      <c r="I13" s="139"/>
      <c r="J13" s="139"/>
      <c r="K13" s="139"/>
      <c r="L13" s="139"/>
      <c r="M13" s="139"/>
      <c r="N13" s="139"/>
      <c r="O13" s="139"/>
      <c r="P13" s="139"/>
      <c r="Q13" s="139"/>
      <c r="R13" s="139"/>
      <c r="S13" s="139"/>
      <c r="T13" s="139"/>
      <c r="U13" s="139"/>
      <c r="V13" s="139"/>
      <c r="W13" s="139"/>
      <c r="X13" s="139"/>
      <c r="Y13" s="139"/>
      <c r="Z13" s="139"/>
      <c r="AA13" s="139"/>
      <c r="AB13" s="139"/>
      <c r="AC13" s="70"/>
      <c r="AD13" s="70"/>
      <c r="AE13" s="70"/>
      <c r="AF13" s="70"/>
      <c r="AG13" s="70"/>
      <c r="AH13" s="70"/>
      <c r="AI13" s="70"/>
      <c r="AJ13" s="70"/>
      <c r="AK13" s="70"/>
      <c r="AL13" s="70"/>
      <c r="AM13" s="70"/>
      <c r="AN13" s="70"/>
      <c r="AO13" s="70"/>
      <c r="AP13" s="70"/>
      <c r="AQ13" s="70"/>
      <c r="AR13" s="70"/>
      <c r="AS13" s="70"/>
      <c r="AT13" s="70"/>
      <c r="AU13" s="70"/>
      <c r="AV13" s="70"/>
      <c r="AW13" s="70"/>
      <c r="AX13" s="70"/>
      <c r="AY13" s="70"/>
      <c r="AZ13" s="70"/>
      <c r="BA13" s="70"/>
      <c r="BB13" s="70"/>
      <c r="BC13" s="70"/>
    </row>
    <row r="14" spans="3:55" x14ac:dyDescent="0.5">
      <c r="C14" s="63"/>
      <c r="E14" s="51"/>
      <c r="F14" s="71"/>
      <c r="G14" s="71"/>
      <c r="H14" s="71"/>
      <c r="I14" s="71"/>
      <c r="J14" s="71"/>
      <c r="K14" s="71"/>
      <c r="L14" s="71"/>
      <c r="M14" s="71"/>
      <c r="N14" s="71"/>
      <c r="O14" s="71"/>
      <c r="P14" s="71"/>
      <c r="Q14" s="71"/>
      <c r="R14" s="71"/>
    </row>
    <row r="15" spans="3:55" s="52" customFormat="1" ht="25.5" customHeight="1" x14ac:dyDescent="0.5">
      <c r="C15" s="65"/>
      <c r="E15" s="78" t="s">
        <v>7</v>
      </c>
      <c r="F15" s="79" t="s">
        <v>26</v>
      </c>
      <c r="G15" s="79" t="s">
        <v>37</v>
      </c>
      <c r="H15" s="79" t="s">
        <v>44</v>
      </c>
      <c r="I15" s="79" t="s">
        <v>51</v>
      </c>
      <c r="J15" s="79" t="s">
        <v>58</v>
      </c>
      <c r="K15" s="79" t="s">
        <v>64</v>
      </c>
      <c r="L15" s="79" t="s">
        <v>70</v>
      </c>
      <c r="M15" s="79" t="s">
        <v>75</v>
      </c>
      <c r="N15" s="79" t="s">
        <v>81</v>
      </c>
      <c r="O15" s="79" t="s">
        <v>86</v>
      </c>
      <c r="P15" s="79" t="s">
        <v>92</v>
      </c>
      <c r="Q15" s="79" t="s">
        <v>97</v>
      </c>
      <c r="R15" s="79" t="s">
        <v>102</v>
      </c>
      <c r="S15" s="79" t="s">
        <v>107</v>
      </c>
      <c r="T15" s="79" t="s">
        <v>111</v>
      </c>
      <c r="U15" s="79" t="s">
        <v>115</v>
      </c>
      <c r="V15" s="79" t="s">
        <v>120</v>
      </c>
      <c r="W15" s="79" t="s">
        <v>125</v>
      </c>
      <c r="X15" s="79" t="s">
        <v>130</v>
      </c>
      <c r="Y15" s="79" t="s">
        <v>135</v>
      </c>
      <c r="Z15" s="79" t="s">
        <v>140</v>
      </c>
      <c r="AA15" s="79" t="s">
        <v>147</v>
      </c>
      <c r="AB15" s="79" t="s">
        <v>151</v>
      </c>
      <c r="AC15" s="79" t="s">
        <v>155</v>
      </c>
      <c r="AD15" s="79" t="s">
        <v>159</v>
      </c>
      <c r="AE15" s="79" t="s">
        <v>163</v>
      </c>
      <c r="AF15" s="79" t="s">
        <v>168</v>
      </c>
      <c r="AG15" s="79" t="s">
        <v>173</v>
      </c>
      <c r="AH15" s="79" t="s">
        <v>177</v>
      </c>
      <c r="AI15" s="79" t="s">
        <v>183</v>
      </c>
      <c r="AJ15" s="79" t="s">
        <v>188</v>
      </c>
      <c r="AK15" s="79" t="s">
        <v>193</v>
      </c>
      <c r="AL15" s="79" t="s">
        <v>198</v>
      </c>
      <c r="AM15" s="79" t="s">
        <v>202</v>
      </c>
      <c r="AN15" s="79" t="s">
        <v>206</v>
      </c>
      <c r="AO15" s="79" t="s">
        <v>210</v>
      </c>
      <c r="AP15" s="79" t="s">
        <v>215</v>
      </c>
      <c r="AQ15" s="79" t="s">
        <v>221</v>
      </c>
      <c r="AR15" s="79" t="s">
        <v>226</v>
      </c>
      <c r="AS15" s="79" t="s">
        <v>232</v>
      </c>
      <c r="AT15" s="79" t="s">
        <v>237</v>
      </c>
      <c r="AU15" s="79" t="s">
        <v>241</v>
      </c>
      <c r="AV15" s="79" t="s">
        <v>246</v>
      </c>
      <c r="AW15" s="79" t="s">
        <v>248</v>
      </c>
      <c r="AX15" s="79" t="s">
        <v>250</v>
      </c>
      <c r="AY15" s="79" t="s">
        <v>252</v>
      </c>
      <c r="AZ15" s="79" t="s">
        <v>254</v>
      </c>
      <c r="BA15" s="79" t="s">
        <v>256</v>
      </c>
      <c r="BB15" s="79" t="s">
        <v>258</v>
      </c>
      <c r="BC15" s="79" t="s">
        <v>263</v>
      </c>
    </row>
    <row r="16" spans="3:55" s="75" customFormat="1" ht="47.25" customHeight="1" x14ac:dyDescent="0.45">
      <c r="C16" s="74"/>
      <c r="E16" s="80" t="s">
        <v>9</v>
      </c>
      <c r="F16" s="81" t="str">
        <f>VLOOKUP(F15,'FIM IA 2'!$E$23:$F$73,2,FALSE)</f>
        <v>APPLE INC</v>
      </c>
      <c r="G16" s="81" t="str">
        <f>VLOOKUP(G15,'FIM IA 2'!$E$23:$F$73,2,FALSE)</f>
        <v>AUSTRALIA AND NEW ZEALAND BANKING MTN</v>
      </c>
      <c r="H16" s="81" t="str">
        <f>VLOOKUP(H15,'FIM IA 2'!$E$23:$F$73,2,FALSE)</f>
        <v>BAHRAIN (KINGDOM OF) MTN RegS</v>
      </c>
      <c r="I16" s="81" t="str">
        <f>VLOOKUP(I15,'FIM IA 2'!$E$23:$F$73,2,FALSE)</f>
        <v>BAIDU INC</v>
      </c>
      <c r="J16" s="81" t="str">
        <f>VLOOKUP(J15,'FIM IA 2'!$E$23:$F$73,2,FALSE)</f>
        <v>BANK OF AMERICA CORP MTN</v>
      </c>
      <c r="K16" s="81" t="str">
        <f>VLOOKUP(K15,'FIM IA 2'!$E$23:$F$73,2,FALSE)</f>
        <v>BOEING CO</v>
      </c>
      <c r="L16" s="81" t="str">
        <f>VLOOKUP(L15,'FIM IA 2'!$E$23:$F$73,2,FALSE)</f>
        <v>CITIGROUP INC</v>
      </c>
      <c r="M16" s="81" t="str">
        <f>VLOOKUP(M15,'FIM IA 2'!$E$23:$F$73,2,FALSE)</f>
        <v>CVS HEALTH CORP</v>
      </c>
      <c r="N16" s="81" t="str">
        <f>VLOOKUP(N15,'FIM IA 2'!$E$23:$F$73,2,FALSE)</f>
        <v>DELTA AIR LINES INC</v>
      </c>
      <c r="O16" s="81" t="str">
        <f>VLOOKUP(O15,'FIM IA 2'!$E$23:$F$73,2,FALSE)</f>
        <v>EGYPT (ARAB REPUBLIC OF) MTN RegS</v>
      </c>
      <c r="P16" s="81" t="str">
        <f>VLOOKUP(P15,'FIM IA 2'!$E$23:$F$73,2,FALSE)</f>
        <v>FIRST ABU DHABI BANK PJSC MTN RegS</v>
      </c>
      <c r="Q16" s="81" t="str">
        <f>VLOOKUP(Q15,'FIM IA 2'!$E$23:$F$73,2,FALSE)</f>
        <v>FORD MOTOR COMPANY</v>
      </c>
      <c r="R16" s="81" t="str">
        <f>VLOOKUP(R15,'FIM IA 2'!$E$23:$F$73,2,FALSE)</f>
        <v>GENERAL ELECTRIC CO MTN</v>
      </c>
      <c r="S16" s="81" t="str">
        <f>VLOOKUP(S15,'FIM IA 2'!$E$23:$F$73,2,FALSE)</f>
        <v>GENERAL MOTORS CO</v>
      </c>
      <c r="T16" s="81" t="str">
        <f>VLOOKUP(T15,'FIM IA 2'!$E$23:$F$73,2,FALSE)</f>
        <v>HEWLETT PACKARD ENTERPRISE CO</v>
      </c>
      <c r="U16" s="81" t="str">
        <f>VLOOKUP(U15,'FIM IA 2'!$E$23:$F$73,2,FALSE)</f>
        <v>HONDA MOTOR CO LTD</v>
      </c>
      <c r="V16" s="81" t="str">
        <f>VLOOKUP(V15,'FIM IA 2'!$E$23:$F$73,2,FALSE)</f>
        <v>HSBC HOLDINGS PLC</v>
      </c>
      <c r="W16" s="81" t="str">
        <f>VLOOKUP(W15,'FIM IA 2'!$E$23:$F$73,2,FALSE)</f>
        <v>INDONESIA (REPUBLIC OF)</v>
      </c>
      <c r="X16" s="81" t="str">
        <f>VLOOKUP(X15,'FIM IA 2'!$E$23:$F$73,2,FALSE)</f>
        <v>ING GROEP NV</v>
      </c>
      <c r="Y16" s="81" t="str">
        <f>VLOOKUP(Y15,'FIM IA 2'!$E$23:$F$73,2,FALSE)</f>
        <v>INTEL CORPORATION</v>
      </c>
      <c r="Z16" s="81" t="str">
        <f>VLOOKUP(Z15,'FIM IA 2'!$E$23:$F$73,2,FALSE)</f>
        <v>KOREA DEVELOPMENT BANK</v>
      </c>
      <c r="AA16" s="81" t="str">
        <f>VLOOKUP(AA15,'FIM IA 2'!$E$23:$F$73,2,FALSE)</f>
        <v>LENOVO GROUP LTD RegS</v>
      </c>
      <c r="AB16" s="81" t="str">
        <f>VLOOKUP(AB15,'FIM IA 2'!$E$23:$F$73,2,FALSE)</f>
        <v>LLOYDS BANKING GROUP PLC</v>
      </c>
      <c r="AC16" s="81" t="str">
        <f>VLOOKUP(AC15,'FIM IA 2'!$E$23:$F$73,2,FALSE)</f>
        <v>LOCKHEED MARTIN CORPORATION</v>
      </c>
      <c r="AD16" s="81" t="str">
        <f>VLOOKUP(AD15,'FIM IA 2'!$E$23:$F$73,2,FALSE)</f>
        <v>META PLATFORMS INC</v>
      </c>
      <c r="AE16" s="81" t="str">
        <f>VLOOKUP(AE15,'FIM IA 2'!$E$23:$F$73,2,FALSE)</f>
        <v>METLIFE INC</v>
      </c>
      <c r="AF16" s="81" t="str">
        <f>VLOOKUP(AF15,'FIM IA 2'!$E$23:$F$73,2,FALSE)</f>
        <v>MEXICO (UNITED MEXICAN STATES) (GO</v>
      </c>
      <c r="AG16" s="81" t="str">
        <f>VLOOKUP(AG15,'FIM IA 2'!$E$23:$F$73,2,FALSE)</f>
        <v>MITSUBISHI UFJ FINANCIAL GROUP INC</v>
      </c>
      <c r="AH16" s="81" t="str">
        <f>VLOOKUP(AH15,'FIM IA 2'!$E$23:$F$73,2,FALSE)</f>
        <v>OCCIDENTAL PETROLEUM CORPORATION</v>
      </c>
      <c r="AI16" s="81" t="str">
        <f>VLOOKUP(AI15,'FIM IA 2'!$E$23:$F$73,2,FALSE)</f>
        <v>OIL INDIA LTD RegS</v>
      </c>
      <c r="AJ16" s="81" t="str">
        <f>VLOOKUP(AJ15,'FIM IA 2'!$E$23:$F$73,2,FALSE)</f>
        <v>ORACLE CORPORATION</v>
      </c>
      <c r="AK16" s="81" t="str">
        <f>VLOOKUP(AK15,'FIM IA 2'!$E$23:$F$73,2,FALSE)</f>
        <v>PAKISTAN (ISLAMIC REPUBLIC OF) RegS</v>
      </c>
      <c r="AL16" s="81" t="str">
        <f>VLOOKUP(AL15,'FIM IA 2'!$E$23:$F$73,2,FALSE)</f>
        <v>PETROLEOS MEXICANOS</v>
      </c>
      <c r="AM16" s="81" t="str">
        <f>VLOOKUP(AM15,'FIM IA 2'!$E$23:$F$73,2,FALSE)</f>
        <v>PHILIPPINES (REPUBLIC OF)</v>
      </c>
      <c r="AN16" s="81" t="str">
        <f>VLOOKUP(AN15,'FIM IA 2'!$E$23:$F$73,2,FALSE)</f>
        <v>PHILLIPS 66 CO</v>
      </c>
      <c r="AO16" s="81" t="str">
        <f>VLOOKUP(AO15,'FIM IA 2'!$E$23:$F$73,2,FALSE)</f>
        <v>ROYAL BANK OF CANADA MTN</v>
      </c>
      <c r="AP16" s="81" t="str">
        <f>VLOOKUP(AP15,'FIM IA 2'!$E$23:$F$73,2,FALSE)</f>
        <v>SAUDI ARABIAN OIL CO MTN RegS</v>
      </c>
      <c r="AQ16" s="81" t="str">
        <f>VLOOKUP(AQ15,'FIM IA 2'!$E$23:$F$73,2,FALSE)</f>
        <v>SENEGAL (REPUBLIC OF) RegS</v>
      </c>
      <c r="AR16" s="81" t="str">
        <f>VLOOKUP(AR15,'FIM IA 2'!$E$23:$F$73,2,FALSE)</f>
        <v>SOUTH AFRICA (REPUBLIC OF)</v>
      </c>
      <c r="AS16" s="81" t="str">
        <f>VLOOKUP(AS15,'FIM IA 2'!$E$23:$F$73,2,FALSE)</f>
        <v>STANDARD CHARTERED PLC RegS</v>
      </c>
      <c r="AT16" s="81" t="str">
        <f>VLOOKUP(AT15,'FIM IA 2'!$E$23:$F$73,2,FALSE)</f>
        <v>TENCENT HOLDINGS LTD MTN RegS</v>
      </c>
      <c r="AU16" s="81" t="str">
        <f>VLOOKUP(AU15,'FIM IA 2'!$E$23:$F$73,2,FALSE)</f>
        <v>TREASURY NOTE</v>
      </c>
      <c r="AV16" s="81" t="str">
        <f>VLOOKUP(AV15,'FIM IA 2'!$E$23:$F$73,2,FALSE)</f>
        <v>TREASURY NOTE</v>
      </c>
      <c r="AW16" s="81" t="str">
        <f>VLOOKUP(AW15,'FIM IA 2'!$E$23:$F$73,2,FALSE)</f>
        <v>TREASURY NOTE</v>
      </c>
      <c r="AX16" s="81" t="str">
        <f>VLOOKUP(AX15,'FIM IA 2'!$E$23:$F$73,2,FALSE)</f>
        <v>TREASURY NOTE</v>
      </c>
      <c r="AY16" s="81" t="str">
        <f>VLOOKUP(AY15,'FIM IA 2'!$E$23:$F$73,2,FALSE)</f>
        <v>TREASURY NOTE</v>
      </c>
      <c r="AZ16" s="81" t="str">
        <f>VLOOKUP(AZ15,'FIM IA 2'!$E$23:$F$73,2,FALSE)</f>
        <v>TREASURY NOTE</v>
      </c>
      <c r="BA16" s="81" t="str">
        <f>VLOOKUP(BA15,'FIM IA 2'!$E$23:$F$73,2,FALSE)</f>
        <v>TREASURY NOTE</v>
      </c>
      <c r="BB16" s="81" t="str">
        <f>VLOOKUP(BB15,'FIM IA 2'!$E$23:$F$73,2,FALSE)</f>
        <v>UBER TECHNOLOGIES INC</v>
      </c>
      <c r="BC16" s="81" t="str">
        <f>VLOOKUP(BC15,'FIM IA 2'!$E$23:$F$73,2,FALSE)</f>
        <v>WESTPAC BANKING CORP</v>
      </c>
    </row>
    <row r="17" spans="3:55" ht="14.25" customHeight="1" x14ac:dyDescent="0.5">
      <c r="C17" s="63"/>
      <c r="E17" s="73">
        <v>45931</v>
      </c>
      <c r="F17" s="66">
        <v>100</v>
      </c>
      <c r="G17" s="66">
        <v>100</v>
      </c>
      <c r="H17" s="66">
        <v>100</v>
      </c>
      <c r="I17" s="66">
        <v>100</v>
      </c>
      <c r="J17" s="66">
        <v>100</v>
      </c>
      <c r="K17" s="66">
        <v>100</v>
      </c>
      <c r="L17" s="66">
        <v>100</v>
      </c>
      <c r="M17" s="66">
        <v>100</v>
      </c>
      <c r="N17" s="66">
        <v>100</v>
      </c>
      <c r="O17" s="66">
        <v>100</v>
      </c>
      <c r="P17" s="66">
        <v>100</v>
      </c>
      <c r="Q17" s="66">
        <v>100</v>
      </c>
      <c r="R17" s="66">
        <v>100</v>
      </c>
      <c r="S17" s="66">
        <v>100</v>
      </c>
      <c r="T17" s="66">
        <v>100</v>
      </c>
      <c r="U17" s="66">
        <v>100</v>
      </c>
      <c r="V17" s="66">
        <v>100</v>
      </c>
      <c r="W17" s="66">
        <v>100</v>
      </c>
      <c r="X17" s="66">
        <v>100</v>
      </c>
      <c r="Y17" s="66">
        <v>100</v>
      </c>
      <c r="Z17" s="66">
        <v>100</v>
      </c>
      <c r="AA17" s="66">
        <v>100</v>
      </c>
      <c r="AB17" s="66">
        <v>100</v>
      </c>
      <c r="AC17" s="66">
        <v>100</v>
      </c>
      <c r="AD17" s="66">
        <v>100</v>
      </c>
      <c r="AE17" s="66">
        <v>100</v>
      </c>
      <c r="AF17" s="66">
        <v>100</v>
      </c>
      <c r="AG17" s="66">
        <v>100</v>
      </c>
      <c r="AH17" s="66">
        <v>100</v>
      </c>
      <c r="AI17" s="66">
        <v>100</v>
      </c>
      <c r="AJ17" s="66">
        <v>100</v>
      </c>
      <c r="AK17" s="66">
        <v>100</v>
      </c>
      <c r="AL17" s="66">
        <v>100</v>
      </c>
      <c r="AM17" s="66">
        <v>100</v>
      </c>
      <c r="AN17" s="66">
        <v>100</v>
      </c>
      <c r="AO17" s="66">
        <v>100</v>
      </c>
      <c r="AP17" s="66">
        <v>100</v>
      </c>
      <c r="AQ17" s="66">
        <v>100</v>
      </c>
      <c r="AR17" s="66">
        <v>100</v>
      </c>
      <c r="AS17" s="66">
        <v>100</v>
      </c>
      <c r="AT17" s="66">
        <v>100</v>
      </c>
      <c r="AU17" s="66">
        <v>100</v>
      </c>
      <c r="AV17" s="66">
        <v>100</v>
      </c>
      <c r="AW17" s="66">
        <v>100</v>
      </c>
      <c r="AX17" s="66">
        <v>100</v>
      </c>
      <c r="AY17" s="66">
        <v>100</v>
      </c>
      <c r="AZ17" s="66">
        <v>100</v>
      </c>
      <c r="BA17" s="66">
        <v>100</v>
      </c>
      <c r="BB17" s="66">
        <v>100</v>
      </c>
      <c r="BC17" s="66">
        <v>100</v>
      </c>
    </row>
    <row r="18" spans="3:55" ht="14.25" customHeight="1" x14ac:dyDescent="0.5">
      <c r="C18" s="63"/>
      <c r="E18" s="73">
        <v>45932</v>
      </c>
      <c r="F18" s="66">
        <v>100.00719561399242</v>
      </c>
      <c r="G18" s="66">
        <v>100.01743999999999</v>
      </c>
      <c r="H18" s="66">
        <v>100.04844802954047</v>
      </c>
      <c r="I18" s="66">
        <v>100.06735735550801</v>
      </c>
      <c r="J18" s="66">
        <v>100.01671999999999</v>
      </c>
      <c r="K18" s="66">
        <v>100.11170040143955</v>
      </c>
      <c r="L18" s="66">
        <v>100.06422799202421</v>
      </c>
      <c r="M18" s="66">
        <v>100.04255510206654</v>
      </c>
      <c r="N18" s="66">
        <v>99.969845335256011</v>
      </c>
      <c r="O18" s="66">
        <v>100.25257251906146</v>
      </c>
      <c r="P18" s="66">
        <v>100.02051999999999</v>
      </c>
      <c r="Q18" s="66">
        <v>100.11199582173489</v>
      </c>
      <c r="R18" s="66">
        <v>100.08406143008544</v>
      </c>
      <c r="S18" s="66">
        <v>100.05099103291295</v>
      </c>
      <c r="T18" s="66">
        <v>100.0268237983187</v>
      </c>
      <c r="U18" s="66">
        <v>100.10191447378243</v>
      </c>
      <c r="V18" s="66">
        <v>100.105141049715</v>
      </c>
      <c r="W18" s="66">
        <v>100.09144775973502</v>
      </c>
      <c r="X18" s="66">
        <v>100.12220711521869</v>
      </c>
      <c r="Y18" s="66">
        <v>100.03773486010552</v>
      </c>
      <c r="Z18" s="66">
        <v>100.01852</v>
      </c>
      <c r="AA18" s="66">
        <v>100.08215041776872</v>
      </c>
      <c r="AB18" s="66">
        <v>100.01428000000001</v>
      </c>
      <c r="AC18" s="66">
        <v>100.0832669404363</v>
      </c>
      <c r="AD18" s="66">
        <v>100.05988827288267</v>
      </c>
      <c r="AE18" s="66">
        <v>100.09550556640635</v>
      </c>
      <c r="AF18" s="66">
        <v>100.01299999999999</v>
      </c>
      <c r="AG18" s="66">
        <v>100.10493578362694</v>
      </c>
      <c r="AH18" s="66">
        <v>100.14769599432356</v>
      </c>
      <c r="AI18" s="66">
        <v>100.08020512519491</v>
      </c>
      <c r="AJ18" s="66">
        <v>100.08500555349305</v>
      </c>
      <c r="AK18" s="66">
        <v>100.00575630714148</v>
      </c>
      <c r="AL18" s="66">
        <v>99.922003484366627</v>
      </c>
      <c r="AM18" s="66">
        <v>100.02552</v>
      </c>
      <c r="AN18" s="66">
        <v>100.09835796207183</v>
      </c>
      <c r="AO18" s="66">
        <v>100.08723476631157</v>
      </c>
      <c r="AP18" s="66">
        <v>100.04265319671713</v>
      </c>
      <c r="AQ18" s="66">
        <v>101.14039562132646</v>
      </c>
      <c r="AR18" s="66">
        <v>100.10071268028365</v>
      </c>
      <c r="AS18" s="66">
        <v>100.03210031457732</v>
      </c>
      <c r="AT18" s="66">
        <v>100.03627771352008</v>
      </c>
      <c r="AU18" s="66">
        <v>100.017</v>
      </c>
      <c r="AV18" s="66">
        <v>100.01552000000001</v>
      </c>
      <c r="AW18" s="66">
        <v>100.01552000000001</v>
      </c>
      <c r="AX18" s="66">
        <v>100.00500000000001</v>
      </c>
      <c r="AY18" s="66">
        <v>100.017</v>
      </c>
      <c r="AZ18" s="66">
        <v>100.01952</v>
      </c>
      <c r="BA18" s="66">
        <v>100.01152</v>
      </c>
      <c r="BB18" s="66">
        <v>100.1012768648945</v>
      </c>
      <c r="BC18" s="66">
        <v>100.00319792015738</v>
      </c>
    </row>
    <row r="19" spans="3:55" ht="14.25" customHeight="1" x14ac:dyDescent="0.5">
      <c r="C19" s="63"/>
      <c r="E19" s="73">
        <v>45933</v>
      </c>
      <c r="F19" s="66">
        <v>100.00117316858558</v>
      </c>
      <c r="G19" s="66">
        <v>100.00054547272325</v>
      </c>
      <c r="H19" s="66">
        <v>100.05801058032182</v>
      </c>
      <c r="I19" s="66">
        <v>100.03628992225043</v>
      </c>
      <c r="J19" s="66">
        <v>100.02476933117936</v>
      </c>
      <c r="K19" s="66">
        <v>99.998935594242553</v>
      </c>
      <c r="L19" s="66">
        <v>100.02867749122809</v>
      </c>
      <c r="M19" s="66">
        <v>100.00543952977564</v>
      </c>
      <c r="N19" s="66">
        <v>99.970016058245562</v>
      </c>
      <c r="O19" s="66">
        <v>100.37945003114325</v>
      </c>
      <c r="P19" s="66">
        <v>100.08365172752183</v>
      </c>
      <c r="Q19" s="66">
        <v>100.06557347875997</v>
      </c>
      <c r="R19" s="66">
        <v>100.0044191514116</v>
      </c>
      <c r="S19" s="66">
        <v>100.00535902233335</v>
      </c>
      <c r="T19" s="66">
        <v>100.00619768212775</v>
      </c>
      <c r="U19" s="66">
        <v>100.13177560866325</v>
      </c>
      <c r="V19" s="66">
        <v>100.07499931596976</v>
      </c>
      <c r="W19" s="66">
        <v>100.11397318684064</v>
      </c>
      <c r="X19" s="66">
        <v>100.04832472556865</v>
      </c>
      <c r="Y19" s="66">
        <v>100.05854270895642</v>
      </c>
      <c r="Z19" s="66">
        <v>100.09043609609364</v>
      </c>
      <c r="AA19" s="66">
        <v>100.07606017143827</v>
      </c>
      <c r="AB19" s="66">
        <v>100.01537507862668</v>
      </c>
      <c r="AC19" s="66">
        <v>100.02508678722423</v>
      </c>
      <c r="AD19" s="66">
        <v>100.00850800970223</v>
      </c>
      <c r="AE19" s="66">
        <v>100.00506907341602</v>
      </c>
      <c r="AF19" s="66">
        <v>100.07494780044257</v>
      </c>
      <c r="AG19" s="66">
        <v>100.03250218966733</v>
      </c>
      <c r="AH19" s="66">
        <v>100.23480590640364</v>
      </c>
      <c r="AI19" s="66">
        <v>100.04100858756229</v>
      </c>
      <c r="AJ19" s="66">
        <v>99.930093866349424</v>
      </c>
      <c r="AK19" s="66">
        <v>100.09854003447002</v>
      </c>
      <c r="AL19" s="66">
        <v>100.36586004240714</v>
      </c>
      <c r="AM19" s="66">
        <v>100.09863847160344</v>
      </c>
      <c r="AN19" s="66">
        <v>100.0001711872597</v>
      </c>
      <c r="AO19" s="66">
        <v>100.01890821874812</v>
      </c>
      <c r="AP19" s="66">
        <v>100.08529851781917</v>
      </c>
      <c r="AQ19" s="66">
        <v>101.48021424459307</v>
      </c>
      <c r="AR19" s="66">
        <v>100.16284013695571</v>
      </c>
      <c r="AS19" s="66">
        <v>99.975657342186778</v>
      </c>
      <c r="AT19" s="66">
        <v>100.07693117317046</v>
      </c>
      <c r="AU19" s="66">
        <v>100.06786574988935</v>
      </c>
      <c r="AV19" s="66">
        <v>100.06530188990099</v>
      </c>
      <c r="AW19" s="66">
        <v>100.06506006876609</v>
      </c>
      <c r="AX19" s="66">
        <v>100.11761519983827</v>
      </c>
      <c r="AY19" s="66">
        <v>100.02253060537168</v>
      </c>
      <c r="AZ19" s="66">
        <v>100.0930828110851</v>
      </c>
      <c r="BA19" s="66">
        <v>100.00977079499259</v>
      </c>
      <c r="BB19" s="66">
        <v>100.0642983587811</v>
      </c>
      <c r="BC19" s="66">
        <v>99.997745678580642</v>
      </c>
    </row>
    <row r="20" spans="3:55" ht="14.25" customHeight="1" x14ac:dyDescent="0.5">
      <c r="C20" s="63"/>
      <c r="E20" s="73">
        <v>45936</v>
      </c>
      <c r="F20" s="66">
        <v>100.00395951312771</v>
      </c>
      <c r="G20" s="66">
        <v>99.996514422369586</v>
      </c>
      <c r="H20" s="66">
        <v>99.993980584075516</v>
      </c>
      <c r="I20" s="66">
        <v>100.00070457927777</v>
      </c>
      <c r="J20" s="66">
        <v>100.01546058806844</v>
      </c>
      <c r="K20" s="66">
        <v>99.885873856544308</v>
      </c>
      <c r="L20" s="66">
        <v>100.01480353518498</v>
      </c>
      <c r="M20" s="66">
        <v>99.989261134851802</v>
      </c>
      <c r="N20" s="66">
        <v>100.00487482859128</v>
      </c>
      <c r="O20" s="66">
        <v>100.43464493240914</v>
      </c>
      <c r="P20" s="66">
        <v>100.04875600068505</v>
      </c>
      <c r="Q20" s="66">
        <v>100.07858200331221</v>
      </c>
      <c r="R20" s="66">
        <v>99.878707924925678</v>
      </c>
      <c r="S20" s="66">
        <v>100.01855131720652</v>
      </c>
      <c r="T20" s="66">
        <v>99.989860327323939</v>
      </c>
      <c r="U20" s="66">
        <v>100.04702097048157</v>
      </c>
      <c r="V20" s="66">
        <v>99.974903406668332</v>
      </c>
      <c r="W20" s="66">
        <v>100.12788417666212</v>
      </c>
      <c r="X20" s="66">
        <v>99.928214309538859</v>
      </c>
      <c r="Y20" s="66">
        <v>99.977586986948054</v>
      </c>
      <c r="Z20" s="66">
        <v>100.08504385175556</v>
      </c>
      <c r="AA20" s="66">
        <v>100.12882552162614</v>
      </c>
      <c r="AB20" s="66">
        <v>100.00766986521315</v>
      </c>
      <c r="AC20" s="66">
        <v>99.923805716294495</v>
      </c>
      <c r="AD20" s="66">
        <v>99.957051371736696</v>
      </c>
      <c r="AE20" s="66">
        <v>99.922532221260539</v>
      </c>
      <c r="AF20" s="66">
        <v>100.08155255026099</v>
      </c>
      <c r="AG20" s="66">
        <v>99.976463316711857</v>
      </c>
      <c r="AH20" s="66">
        <v>100.18460959690603</v>
      </c>
      <c r="AI20" s="66">
        <v>100.01883699123134</v>
      </c>
      <c r="AJ20" s="66">
        <v>99.829300141132293</v>
      </c>
      <c r="AK20" s="66">
        <v>100.08254959914007</v>
      </c>
      <c r="AL20" s="66">
        <v>100.28833579808948</v>
      </c>
      <c r="AM20" s="66">
        <v>100.05076983975646</v>
      </c>
      <c r="AN20" s="66">
        <v>99.923675122864125</v>
      </c>
      <c r="AO20" s="66">
        <v>99.929359206065598</v>
      </c>
      <c r="AP20" s="66">
        <v>100.00770994339976</v>
      </c>
      <c r="AQ20" s="66">
        <v>101.58264933385001</v>
      </c>
      <c r="AR20" s="66">
        <v>100.1134439613176</v>
      </c>
      <c r="AS20" s="66">
        <v>99.951348207991501</v>
      </c>
      <c r="AT20" s="66">
        <v>100.08696686906671</v>
      </c>
      <c r="AU20" s="66">
        <v>99.866552915652733</v>
      </c>
      <c r="AV20" s="66">
        <v>99.883151102480142</v>
      </c>
      <c r="AW20" s="66">
        <v>99.90139189948421</v>
      </c>
      <c r="AX20" s="66">
        <v>99.989289713213694</v>
      </c>
      <c r="AY20" s="66">
        <v>99.966376470054996</v>
      </c>
      <c r="AZ20" s="66">
        <v>100.05518629805596</v>
      </c>
      <c r="BA20" s="66">
        <v>99.981456676347349</v>
      </c>
      <c r="BB20" s="66">
        <v>99.970937991128508</v>
      </c>
      <c r="BC20" s="66">
        <v>100.00093320212801</v>
      </c>
    </row>
    <row r="21" spans="3:55" ht="14.25" customHeight="1" x14ac:dyDescent="0.5">
      <c r="C21" s="63"/>
      <c r="E21" s="73">
        <v>45937</v>
      </c>
      <c r="F21" s="66">
        <v>100.0375917122559</v>
      </c>
      <c r="G21" s="66">
        <v>100.07833283663682</v>
      </c>
      <c r="H21" s="66">
        <v>100.05112297679217</v>
      </c>
      <c r="I21" s="66">
        <v>100.05021041841361</v>
      </c>
      <c r="J21" s="66">
        <v>100.04953854745345</v>
      </c>
      <c r="K21" s="66">
        <v>99.968129746551881</v>
      </c>
      <c r="L21" s="66">
        <v>100.0617204580014</v>
      </c>
      <c r="M21" s="66">
        <v>100.05282729669167</v>
      </c>
      <c r="N21" s="66">
        <v>99.987688606354993</v>
      </c>
      <c r="O21" s="66">
        <v>100.34626919082557</v>
      </c>
      <c r="P21" s="66">
        <v>100.05648821749242</v>
      </c>
      <c r="Q21" s="66">
        <v>100.07176846678371</v>
      </c>
      <c r="R21" s="66">
        <v>99.993439951936622</v>
      </c>
      <c r="S21" s="66">
        <v>100.09479105923107</v>
      </c>
      <c r="T21" s="66">
        <v>100.03396068642122</v>
      </c>
      <c r="U21" s="66">
        <v>100.20409245302584</v>
      </c>
      <c r="V21" s="66">
        <v>100.05146547683394</v>
      </c>
      <c r="W21" s="66">
        <v>100.14610745158227</v>
      </c>
      <c r="X21" s="66">
        <v>100.08404455522202</v>
      </c>
      <c r="Y21" s="66">
        <v>100.05349156226139</v>
      </c>
      <c r="Z21" s="66">
        <v>100.09032824242016</v>
      </c>
      <c r="AA21" s="66">
        <v>100.24877715050484</v>
      </c>
      <c r="AB21" s="66">
        <v>100.03514372496272</v>
      </c>
      <c r="AC21" s="66">
        <v>100.02007773787319</v>
      </c>
      <c r="AD21" s="66">
        <v>99.990274430693759</v>
      </c>
      <c r="AE21" s="66">
        <v>100.00606747957742</v>
      </c>
      <c r="AF21" s="66">
        <v>100.07167895704744</v>
      </c>
      <c r="AG21" s="66">
        <v>100.08567325099949</v>
      </c>
      <c r="AH21" s="66">
        <v>100.26369957948891</v>
      </c>
      <c r="AI21" s="66">
        <v>100.09058448161193</v>
      </c>
      <c r="AJ21" s="66">
        <v>99.769233103412816</v>
      </c>
      <c r="AK21" s="66">
        <v>100.17537187703385</v>
      </c>
      <c r="AL21" s="66">
        <v>100.13654343560762</v>
      </c>
      <c r="AM21" s="66">
        <v>100.08450550334769</v>
      </c>
      <c r="AN21" s="66">
        <v>100.01346111569347</v>
      </c>
      <c r="AO21" s="66">
        <v>100.01252571111146</v>
      </c>
      <c r="AP21" s="66">
        <v>100.02633350131457</v>
      </c>
      <c r="AQ21" s="66">
        <v>100.84254546502632</v>
      </c>
      <c r="AR21" s="66">
        <v>100.09404021380807</v>
      </c>
      <c r="AS21" s="66">
        <v>100.03983535943973</v>
      </c>
      <c r="AT21" s="66">
        <v>100.09700313078483</v>
      </c>
      <c r="AU21" s="66">
        <v>100.0363360827721</v>
      </c>
      <c r="AV21" s="66">
        <v>100.04288672176735</v>
      </c>
      <c r="AW21" s="66">
        <v>100.04831111496523</v>
      </c>
      <c r="AX21" s="66">
        <v>100.0704308674422</v>
      </c>
      <c r="AY21" s="66">
        <v>100.01824416748811</v>
      </c>
      <c r="AZ21" s="66">
        <v>100.10741402732792</v>
      </c>
      <c r="BA21" s="66">
        <v>100.0239518921114</v>
      </c>
      <c r="BB21" s="66">
        <v>100.05937776357288</v>
      </c>
      <c r="BC21" s="66">
        <v>100.04303453049413</v>
      </c>
    </row>
    <row r="22" spans="3:55" ht="14.25" customHeight="1" x14ac:dyDescent="0.5">
      <c r="C22" s="63"/>
      <c r="E22" s="73">
        <v>45938</v>
      </c>
      <c r="F22" s="66">
        <v>100.02274775182802</v>
      </c>
      <c r="G22" s="66">
        <v>100.07431987636303</v>
      </c>
      <c r="H22" s="66">
        <v>100.04334290797804</v>
      </c>
      <c r="I22" s="66">
        <v>100.05493918917765</v>
      </c>
      <c r="J22" s="66">
        <v>100.08362118400231</v>
      </c>
      <c r="K22" s="66">
        <v>100.02492070698592</v>
      </c>
      <c r="L22" s="66">
        <v>100.06087683967894</v>
      </c>
      <c r="M22" s="66">
        <v>100.06184441983704</v>
      </c>
      <c r="N22" s="66">
        <v>100.00086685998635</v>
      </c>
      <c r="O22" s="66">
        <v>100.43738785804324</v>
      </c>
      <c r="P22" s="66">
        <v>100.08981858586908</v>
      </c>
      <c r="Q22" s="66">
        <v>99.915921342409561</v>
      </c>
      <c r="R22" s="66">
        <v>100.00898752826505</v>
      </c>
      <c r="S22" s="66">
        <v>100.09959504823277</v>
      </c>
      <c r="T22" s="66">
        <v>100.05216686726614</v>
      </c>
      <c r="U22" s="66">
        <v>100.19155720012982</v>
      </c>
      <c r="V22" s="66">
        <v>100.04175361878174</v>
      </c>
      <c r="W22" s="66">
        <v>100.23326100185983</v>
      </c>
      <c r="X22" s="66">
        <v>100.09364428865037</v>
      </c>
      <c r="Y22" s="66">
        <v>100.05309901889092</v>
      </c>
      <c r="Z22" s="66">
        <v>100.13621962294124</v>
      </c>
      <c r="AA22" s="66">
        <v>100.18385658802192</v>
      </c>
      <c r="AB22" s="66">
        <v>100.04503039259288</v>
      </c>
      <c r="AC22" s="66">
        <v>100.04337534672992</v>
      </c>
      <c r="AD22" s="66">
        <v>99.961070192357354</v>
      </c>
      <c r="AE22" s="66">
        <v>100.01671492885148</v>
      </c>
      <c r="AF22" s="66">
        <v>100.07186912614759</v>
      </c>
      <c r="AG22" s="66">
        <v>100.13294924801728</v>
      </c>
      <c r="AH22" s="66">
        <v>100.28624849628461</v>
      </c>
      <c r="AI22" s="66">
        <v>100.14952871645538</v>
      </c>
      <c r="AJ22" s="66">
        <v>99.777303045921897</v>
      </c>
      <c r="AK22" s="66">
        <v>100.18117100645647</v>
      </c>
      <c r="AL22" s="66">
        <v>100.05850490111905</v>
      </c>
      <c r="AM22" s="66">
        <v>100.11004706915215</v>
      </c>
      <c r="AN22" s="66">
        <v>100.02888809023578</v>
      </c>
      <c r="AO22" s="66">
        <v>100.00724597570428</v>
      </c>
      <c r="AP22" s="66">
        <v>99.972737456584724</v>
      </c>
      <c r="AQ22" s="66">
        <v>100.90367356735042</v>
      </c>
      <c r="AR22" s="66">
        <v>100.21628583019454</v>
      </c>
      <c r="AS22" s="66">
        <v>100.04374692388123</v>
      </c>
      <c r="AT22" s="66">
        <v>100.12892125736012</v>
      </c>
      <c r="AU22" s="66">
        <v>99.992782429494426</v>
      </c>
      <c r="AV22" s="66">
        <v>99.989764588622393</v>
      </c>
      <c r="AW22" s="66">
        <v>100.05204952502609</v>
      </c>
      <c r="AX22" s="66">
        <v>100.09146021481453</v>
      </c>
      <c r="AY22" s="66">
        <v>100.0301429450316</v>
      </c>
      <c r="AZ22" s="66">
        <v>100.11395621428844</v>
      </c>
      <c r="BA22" s="66">
        <v>100.01998215585148</v>
      </c>
      <c r="BB22" s="66">
        <v>100.07426073782116</v>
      </c>
      <c r="BC22" s="66">
        <v>100.0462273730426</v>
      </c>
    </row>
    <row r="23" spans="3:55" ht="14.25" customHeight="1" x14ac:dyDescent="0.5">
      <c r="C23" s="63"/>
      <c r="E23" s="73">
        <v>45939</v>
      </c>
      <c r="F23" s="66">
        <v>100.02112215291334</v>
      </c>
      <c r="G23" s="66">
        <v>100.08318356402536</v>
      </c>
      <c r="H23" s="66">
        <v>100.05287652579278</v>
      </c>
      <c r="I23" s="66">
        <v>100.0507041193388</v>
      </c>
      <c r="J23" s="66">
        <v>100.08299489986791</v>
      </c>
      <c r="K23" s="66">
        <v>99.860560239498341</v>
      </c>
      <c r="L23" s="66">
        <v>100.02524417745667</v>
      </c>
      <c r="M23" s="66">
        <v>100.05405425401641</v>
      </c>
      <c r="N23" s="66">
        <v>100.00536392475293</v>
      </c>
      <c r="O23" s="66">
        <v>100.57776850839376</v>
      </c>
      <c r="P23" s="66">
        <v>100.06339408765582</v>
      </c>
      <c r="Q23" s="66">
        <v>99.749682805555921</v>
      </c>
      <c r="R23" s="66">
        <v>99.963387670182513</v>
      </c>
      <c r="S23" s="66">
        <v>100.07493543183628</v>
      </c>
      <c r="T23" s="66">
        <v>100.0358151317583</v>
      </c>
      <c r="U23" s="66">
        <v>100.14075909698855</v>
      </c>
      <c r="V23" s="66">
        <v>99.953767241932184</v>
      </c>
      <c r="W23" s="66">
        <v>100.18251651199121</v>
      </c>
      <c r="X23" s="66">
        <v>100.0990592936772</v>
      </c>
      <c r="Y23" s="66">
        <v>99.971988573127177</v>
      </c>
      <c r="Z23" s="66">
        <v>100.1248310993783</v>
      </c>
      <c r="AA23" s="66">
        <v>100.20721946337825</v>
      </c>
      <c r="AB23" s="66">
        <v>100.04171722587556</v>
      </c>
      <c r="AC23" s="66">
        <v>100.04090537026495</v>
      </c>
      <c r="AD23" s="66">
        <v>99.887147138216022</v>
      </c>
      <c r="AE23" s="66">
        <v>99.986806743086021</v>
      </c>
      <c r="AF23" s="66">
        <v>100.08487846913398</v>
      </c>
      <c r="AG23" s="66">
        <v>100.0727759894322</v>
      </c>
      <c r="AH23" s="66">
        <v>100.29262915521335</v>
      </c>
      <c r="AI23" s="66">
        <v>100.08891320558497</v>
      </c>
      <c r="AJ23" s="66">
        <v>99.758081253651369</v>
      </c>
      <c r="AK23" s="66">
        <v>100.07788924801483</v>
      </c>
      <c r="AL23" s="66">
        <v>99.708658611515119</v>
      </c>
      <c r="AM23" s="66">
        <v>100.16138028136452</v>
      </c>
      <c r="AN23" s="66">
        <v>100.00052466695246</v>
      </c>
      <c r="AO23" s="66">
        <v>99.951316295284357</v>
      </c>
      <c r="AP23" s="66">
        <v>99.933546753593902</v>
      </c>
      <c r="AQ23" s="66">
        <v>100.77294946836635</v>
      </c>
      <c r="AR23" s="66">
        <v>100.36414195252961</v>
      </c>
      <c r="AS23" s="66">
        <v>100.05167845073588</v>
      </c>
      <c r="AT23" s="66">
        <v>100.06449041151278</v>
      </c>
      <c r="AU23" s="66">
        <v>100.06001705523111</v>
      </c>
      <c r="AV23" s="66">
        <v>100.06334664663608</v>
      </c>
      <c r="AW23" s="66">
        <v>99.992398753440924</v>
      </c>
      <c r="AX23" s="66">
        <v>100.05136760683577</v>
      </c>
      <c r="AY23" s="66">
        <v>100.01735734207936</v>
      </c>
      <c r="AZ23" s="66">
        <v>100.11042502984209</v>
      </c>
      <c r="BA23" s="66">
        <v>100.02087825975769</v>
      </c>
      <c r="BB23" s="66">
        <v>100.01981475326464</v>
      </c>
      <c r="BC23" s="66">
        <v>100.02777715448516</v>
      </c>
    </row>
    <row r="24" spans="3:55" ht="14.25" customHeight="1" x14ac:dyDescent="0.5">
      <c r="C24" s="63"/>
      <c r="E24" s="73">
        <v>45940</v>
      </c>
      <c r="F24" s="66">
        <v>100.08561254154596</v>
      </c>
      <c r="G24" s="66">
        <v>100.17788733509101</v>
      </c>
      <c r="H24" s="66">
        <v>100.01036314599438</v>
      </c>
      <c r="I24" s="66">
        <v>100.17628139072944</v>
      </c>
      <c r="J24" s="66">
        <v>100.12142788965001</v>
      </c>
      <c r="K24" s="66">
        <v>100.05330940150638</v>
      </c>
      <c r="L24" s="66">
        <v>100.11562075791772</v>
      </c>
      <c r="M24" s="66">
        <v>100.14283954489768</v>
      </c>
      <c r="N24" s="66">
        <v>100.05326736152857</v>
      </c>
      <c r="O24" s="66">
        <v>100.43545214175543</v>
      </c>
      <c r="P24" s="66">
        <v>100.11807796616522</v>
      </c>
      <c r="Q24" s="66">
        <v>99.627966536285342</v>
      </c>
      <c r="R24" s="66">
        <v>100.10490532486857</v>
      </c>
      <c r="S24" s="66">
        <v>100.15963449543322</v>
      </c>
      <c r="T24" s="66">
        <v>100.10152849192031</v>
      </c>
      <c r="U24" s="66">
        <v>100.31482224505163</v>
      </c>
      <c r="V24" s="66">
        <v>100.15365331134753</v>
      </c>
      <c r="W24" s="66">
        <v>100.16191614513652</v>
      </c>
      <c r="X24" s="66">
        <v>100.25900368207155</v>
      </c>
      <c r="Y24" s="66">
        <v>100.14545160764651</v>
      </c>
      <c r="Z24" s="66">
        <v>100.1429464924208</v>
      </c>
      <c r="AA24" s="66">
        <v>100.28104511720049</v>
      </c>
      <c r="AB24" s="66">
        <v>100.11317393427359</v>
      </c>
      <c r="AC24" s="66">
        <v>100.19718723173465</v>
      </c>
      <c r="AD24" s="66">
        <v>100.03633750474066</v>
      </c>
      <c r="AE24" s="66">
        <v>100.19981931168336</v>
      </c>
      <c r="AF24" s="66">
        <v>100.06261268173533</v>
      </c>
      <c r="AG24" s="66">
        <v>100.26450217822781</v>
      </c>
      <c r="AH24" s="66">
        <v>100.27471731448199</v>
      </c>
      <c r="AI24" s="66">
        <v>100.22467783909607</v>
      </c>
      <c r="AJ24" s="66">
        <v>99.925096161052821</v>
      </c>
      <c r="AK24" s="66">
        <v>99.952429305408359</v>
      </c>
      <c r="AL24" s="66">
        <v>99.098178252514984</v>
      </c>
      <c r="AM24" s="66">
        <v>100.15840602934428</v>
      </c>
      <c r="AN24" s="66">
        <v>100.01156348856951</v>
      </c>
      <c r="AO24" s="66">
        <v>100.11874623441787</v>
      </c>
      <c r="AP24" s="66">
        <v>100.02439690118899</v>
      </c>
      <c r="AQ24" s="66">
        <v>100.29113504766954</v>
      </c>
      <c r="AR24" s="66">
        <v>100.20306323113819</v>
      </c>
      <c r="AS24" s="66">
        <v>100.13620399836118</v>
      </c>
      <c r="AT24" s="66">
        <v>100.14895001516584</v>
      </c>
      <c r="AU24" s="66">
        <v>100.09720468074117</v>
      </c>
      <c r="AV24" s="66">
        <v>100.08767370050955</v>
      </c>
      <c r="AW24" s="66">
        <v>100.08130577457192</v>
      </c>
      <c r="AX24" s="66">
        <v>100.10495348621866</v>
      </c>
      <c r="AY24" s="66">
        <v>100.05946776318689</v>
      </c>
      <c r="AZ24" s="66">
        <v>100.14968394382798</v>
      </c>
      <c r="BA24" s="66">
        <v>100.04833913014375</v>
      </c>
      <c r="BB24" s="66">
        <v>100.16020890151258</v>
      </c>
      <c r="BC24" s="66">
        <v>100.10881523538121</v>
      </c>
    </row>
    <row r="25" spans="3:55" ht="14.25" customHeight="1" x14ac:dyDescent="0.5">
      <c r="C25" s="63"/>
      <c r="E25" s="73">
        <v>45944</v>
      </c>
      <c r="F25" s="66">
        <v>100.09722247260078</v>
      </c>
      <c r="G25" s="66">
        <v>100.23825592046744</v>
      </c>
      <c r="H25" s="66">
        <v>100.03288547977486</v>
      </c>
      <c r="I25" s="66">
        <v>100.26600198107356</v>
      </c>
      <c r="J25" s="66">
        <v>100.14684813725732</v>
      </c>
      <c r="K25" s="66">
        <v>100.24153395620476</v>
      </c>
      <c r="L25" s="66">
        <v>100.18426251496841</v>
      </c>
      <c r="M25" s="66">
        <v>100.27350319548886</v>
      </c>
      <c r="N25" s="66">
        <v>100.04039964347469</v>
      </c>
      <c r="O25" s="66">
        <v>100.48174715321477</v>
      </c>
      <c r="P25" s="66">
        <v>100.13862219576386</v>
      </c>
      <c r="Q25" s="66">
        <v>99.780411733296759</v>
      </c>
      <c r="R25" s="66">
        <v>100.2767742447686</v>
      </c>
      <c r="S25" s="66">
        <v>100.20649784712137</v>
      </c>
      <c r="T25" s="66">
        <v>100.24482594940551</v>
      </c>
      <c r="U25" s="66">
        <v>100.53089278228671</v>
      </c>
      <c r="V25" s="66">
        <v>100.18095870791487</v>
      </c>
      <c r="W25" s="66">
        <v>100.21897121344833</v>
      </c>
      <c r="X25" s="66">
        <v>100.493631864918</v>
      </c>
      <c r="Y25" s="66">
        <v>100.2171405113298</v>
      </c>
      <c r="Z25" s="66">
        <v>100.1614929661112</v>
      </c>
      <c r="AA25" s="66">
        <v>100.29601897084375</v>
      </c>
      <c r="AB25" s="66">
        <v>100.17582116848811</v>
      </c>
      <c r="AC25" s="66">
        <v>100.33617184890751</v>
      </c>
      <c r="AD25" s="66">
        <v>100.14975329877419</v>
      </c>
      <c r="AE25" s="66">
        <v>100.32371974060591</v>
      </c>
      <c r="AF25" s="66">
        <v>100.07562082138395</v>
      </c>
      <c r="AG25" s="66">
        <v>100.39422263730465</v>
      </c>
      <c r="AH25" s="66">
        <v>100.31345145198752</v>
      </c>
      <c r="AI25" s="66">
        <v>100.3134748174066</v>
      </c>
      <c r="AJ25" s="66">
        <v>100.01940917774526</v>
      </c>
      <c r="AK25" s="66">
        <v>99.857300063572552</v>
      </c>
      <c r="AL25" s="66">
        <v>99.526579173890823</v>
      </c>
      <c r="AM25" s="66">
        <v>100.18396645456296</v>
      </c>
      <c r="AN25" s="66">
        <v>100.15824571065595</v>
      </c>
      <c r="AO25" s="66">
        <v>100.26076005562633</v>
      </c>
      <c r="AP25" s="66">
        <v>100.0045000758</v>
      </c>
      <c r="AQ25" s="66">
        <v>99.034789452215563</v>
      </c>
      <c r="AR25" s="66">
        <v>100.31677853418492</v>
      </c>
      <c r="AS25" s="66">
        <v>100.25292657388783</v>
      </c>
      <c r="AT25" s="66">
        <v>100.27269172551117</v>
      </c>
      <c r="AU25" s="66">
        <v>100.11422120553689</v>
      </c>
      <c r="AV25" s="66">
        <v>100.10320730746787</v>
      </c>
      <c r="AW25" s="66">
        <v>100.09683839322813</v>
      </c>
      <c r="AX25" s="66">
        <v>100.10995873389298</v>
      </c>
      <c r="AY25" s="66">
        <v>100.07647787270663</v>
      </c>
      <c r="AZ25" s="66">
        <v>100.16923316213382</v>
      </c>
      <c r="BA25" s="66">
        <v>100.05986469881154</v>
      </c>
      <c r="BB25" s="66">
        <v>100.35222648675575</v>
      </c>
      <c r="BC25" s="66">
        <v>100.14661334155167</v>
      </c>
    </row>
    <row r="26" spans="3:55" ht="14.25" customHeight="1" x14ac:dyDescent="0.5">
      <c r="C26" s="63"/>
      <c r="E26" s="73">
        <v>45945</v>
      </c>
      <c r="F26" s="66">
        <v>100.10442552940563</v>
      </c>
      <c r="G26" s="66">
        <v>100.25144703505983</v>
      </c>
      <c r="H26" s="66">
        <v>100.20267990854632</v>
      </c>
      <c r="I26" s="66">
        <v>100.27971837014456</v>
      </c>
      <c r="J26" s="66">
        <v>100.15925183258213</v>
      </c>
      <c r="K26" s="66">
        <v>100.42948443689883</v>
      </c>
      <c r="L26" s="66">
        <v>100.20081295513589</v>
      </c>
      <c r="M26" s="66">
        <v>100.27418831371418</v>
      </c>
      <c r="N26" s="66">
        <v>100.03185852459065</v>
      </c>
      <c r="O26" s="66">
        <v>100.86814588304884</v>
      </c>
      <c r="P26" s="66">
        <v>100.25301788912745</v>
      </c>
      <c r="Q26" s="66">
        <v>99.912774603548883</v>
      </c>
      <c r="R26" s="66">
        <v>100.3038489738147</v>
      </c>
      <c r="S26" s="66">
        <v>100.23234780690117</v>
      </c>
      <c r="T26" s="66">
        <v>100.23718460383465</v>
      </c>
      <c r="U26" s="66">
        <v>100.53967124161876</v>
      </c>
      <c r="V26" s="66">
        <v>100.21238131472784</v>
      </c>
      <c r="W26" s="66">
        <v>100.19836335047306</v>
      </c>
      <c r="X26" s="66">
        <v>100.49502967324327</v>
      </c>
      <c r="Y26" s="66">
        <v>100.2464624028691</v>
      </c>
      <c r="Z26" s="66">
        <v>100.28560213840436</v>
      </c>
      <c r="AA26" s="66">
        <v>100.35725345239049</v>
      </c>
      <c r="AB26" s="66">
        <v>100.15054555457941</v>
      </c>
      <c r="AC26" s="66">
        <v>100.38521244333309</v>
      </c>
      <c r="AD26" s="66">
        <v>100.25863157550177</v>
      </c>
      <c r="AE26" s="66">
        <v>100.32233181004513</v>
      </c>
      <c r="AF26" s="66">
        <v>100.09825355297416</v>
      </c>
      <c r="AG26" s="66">
        <v>100.37967202894012</v>
      </c>
      <c r="AH26" s="66">
        <v>100.4128593879817</v>
      </c>
      <c r="AI26" s="66">
        <v>100.29138961055236</v>
      </c>
      <c r="AJ26" s="66">
        <v>100.12273136024415</v>
      </c>
      <c r="AK26" s="66">
        <v>100.06406680037493</v>
      </c>
      <c r="AL26" s="66">
        <v>99.809947657702253</v>
      </c>
      <c r="AM26" s="66">
        <v>100.1993632813972</v>
      </c>
      <c r="AN26" s="66">
        <v>100.27859027322967</v>
      </c>
      <c r="AO26" s="66">
        <v>100.29343023086325</v>
      </c>
      <c r="AP26" s="66">
        <v>100.14817160436394</v>
      </c>
      <c r="AQ26" s="66">
        <v>100.86443937160057</v>
      </c>
      <c r="AR26" s="66">
        <v>100.4047229463801</v>
      </c>
      <c r="AS26" s="66">
        <v>100.24077835842982</v>
      </c>
      <c r="AT26" s="66">
        <v>100.26088679182195</v>
      </c>
      <c r="AU26" s="66">
        <v>100.40052260065649</v>
      </c>
      <c r="AV26" s="66">
        <v>100.3675056047895</v>
      </c>
      <c r="AW26" s="66">
        <v>100.35810133439853</v>
      </c>
      <c r="AX26" s="66">
        <v>100.34924092161354</v>
      </c>
      <c r="AY26" s="66">
        <v>100.22737329455096</v>
      </c>
      <c r="AZ26" s="66">
        <v>100.29860089810377</v>
      </c>
      <c r="BA26" s="66">
        <v>100.1974142267626</v>
      </c>
      <c r="BB26" s="66">
        <v>100.34124804873643</v>
      </c>
      <c r="BC26" s="66">
        <v>100.13251386291554</v>
      </c>
    </row>
    <row r="27" spans="3:55" ht="14.25" customHeight="1" x14ac:dyDescent="0.5">
      <c r="C27" s="63"/>
      <c r="E27" s="73">
        <v>45946</v>
      </c>
      <c r="F27" s="66">
        <v>100.16450699313152</v>
      </c>
      <c r="G27" s="66">
        <v>100.35467067537195</v>
      </c>
      <c r="H27" s="66">
        <v>100.33339579152252</v>
      </c>
      <c r="I27" s="66">
        <v>100.4273983786923</v>
      </c>
      <c r="J27" s="66">
        <v>100.18902134578383</v>
      </c>
      <c r="K27" s="66">
        <v>100.6002949042856</v>
      </c>
      <c r="L27" s="66">
        <v>100.28246211786289</v>
      </c>
      <c r="M27" s="66">
        <v>100.38387096312262</v>
      </c>
      <c r="N27" s="66">
        <v>100.20121559990979</v>
      </c>
      <c r="O27" s="66">
        <v>101.17758827182286</v>
      </c>
      <c r="P27" s="66">
        <v>100.24798596616478</v>
      </c>
      <c r="Q27" s="66">
        <v>100.05490492707818</v>
      </c>
      <c r="R27" s="66">
        <v>100.44136254519535</v>
      </c>
      <c r="S27" s="66">
        <v>100.34643700775507</v>
      </c>
      <c r="T27" s="66">
        <v>100.35456603810843</v>
      </c>
      <c r="U27" s="66">
        <v>100.68794117742968</v>
      </c>
      <c r="V27" s="66">
        <v>100.47339210046083</v>
      </c>
      <c r="W27" s="66">
        <v>100.26837805619201</v>
      </c>
      <c r="X27" s="66">
        <v>100.70023754770263</v>
      </c>
      <c r="Y27" s="66">
        <v>100.41120808260976</v>
      </c>
      <c r="Z27" s="66">
        <v>100.27766964245485</v>
      </c>
      <c r="AA27" s="66">
        <v>100.44369799960067</v>
      </c>
      <c r="AB27" s="66">
        <v>100.23077829035394</v>
      </c>
      <c r="AC27" s="66">
        <v>100.49841014172394</v>
      </c>
      <c r="AD27" s="66">
        <v>100.40737624546111</v>
      </c>
      <c r="AE27" s="66">
        <v>100.5187808970018</v>
      </c>
      <c r="AF27" s="66">
        <v>100.287349447661</v>
      </c>
      <c r="AG27" s="66">
        <v>100.63265631194238</v>
      </c>
      <c r="AH27" s="66">
        <v>100.5647144076346</v>
      </c>
      <c r="AI27" s="66">
        <v>100.41002532854549</v>
      </c>
      <c r="AJ27" s="66">
        <v>100.19431157670235</v>
      </c>
      <c r="AK27" s="66">
        <v>100.20078812812632</v>
      </c>
      <c r="AL27" s="66">
        <v>99.634814472345212</v>
      </c>
      <c r="AM27" s="66">
        <v>100.24058191950576</v>
      </c>
      <c r="AN27" s="66">
        <v>100.3421269206231</v>
      </c>
      <c r="AO27" s="66">
        <v>100.41853137200656</v>
      </c>
      <c r="AP27" s="66">
        <v>100.08980491347346</v>
      </c>
      <c r="AQ27" s="66">
        <v>100.81758822728438</v>
      </c>
      <c r="AR27" s="66">
        <v>100.57397455771495</v>
      </c>
      <c r="AS27" s="66">
        <v>100.32532762750574</v>
      </c>
      <c r="AT27" s="66">
        <v>100.34526554493736</v>
      </c>
      <c r="AU27" s="66">
        <v>100.68427893948477</v>
      </c>
      <c r="AV27" s="66">
        <v>100.62017758303486</v>
      </c>
      <c r="AW27" s="66">
        <v>100.60089857370876</v>
      </c>
      <c r="AX27" s="66">
        <v>100.55852113345979</v>
      </c>
      <c r="AY27" s="66">
        <v>100.38401595538396</v>
      </c>
      <c r="AZ27" s="66">
        <v>100.42618642200189</v>
      </c>
      <c r="BA27" s="66">
        <v>100.31053307499376</v>
      </c>
      <c r="BB27" s="66">
        <v>100.48566857983688</v>
      </c>
      <c r="BC27" s="66">
        <v>100.22219322872752</v>
      </c>
    </row>
    <row r="28" spans="3:55" ht="14.25" customHeight="1" x14ac:dyDescent="0.5">
      <c r="C28" s="63"/>
      <c r="E28" s="73">
        <v>45947</v>
      </c>
      <c r="F28" s="66">
        <v>100.15408803267809</v>
      </c>
      <c r="G28" s="66">
        <v>100.32498800913571</v>
      </c>
      <c r="H28" s="66">
        <v>100.31703699220476</v>
      </c>
      <c r="I28" s="66">
        <v>100.43220573895798</v>
      </c>
      <c r="J28" s="66">
        <v>100.17102626104921</v>
      </c>
      <c r="K28" s="66">
        <v>100.43273462742503</v>
      </c>
      <c r="L28" s="66">
        <v>100.27732326312112</v>
      </c>
      <c r="M28" s="66">
        <v>100.35102458980093</v>
      </c>
      <c r="N28" s="66">
        <v>100.17971310753988</v>
      </c>
      <c r="O28" s="66">
        <v>101.2061203517155</v>
      </c>
      <c r="P28" s="66">
        <v>100.23012476523975</v>
      </c>
      <c r="Q28" s="66">
        <v>99.923639735744814</v>
      </c>
      <c r="R28" s="66">
        <v>100.4036912418956</v>
      </c>
      <c r="S28" s="66">
        <v>100.30082643812442</v>
      </c>
      <c r="T28" s="66">
        <v>100.31675805454614</v>
      </c>
      <c r="U28" s="66">
        <v>100.62906923503641</v>
      </c>
      <c r="V28" s="66">
        <v>100.29120397187556</v>
      </c>
      <c r="W28" s="66">
        <v>100.37715468386511</v>
      </c>
      <c r="X28" s="66">
        <v>100.55168615176844</v>
      </c>
      <c r="Y28" s="66">
        <v>100.32191875464683</v>
      </c>
      <c r="Z28" s="66">
        <v>100.38935880421327</v>
      </c>
      <c r="AA28" s="66">
        <v>100.42086033460794</v>
      </c>
      <c r="AB28" s="66">
        <v>100.2143111323371</v>
      </c>
      <c r="AC28" s="66">
        <v>100.47469794629733</v>
      </c>
      <c r="AD28" s="66">
        <v>100.32943008575135</v>
      </c>
      <c r="AE28" s="66">
        <v>100.44876080978914</v>
      </c>
      <c r="AF28" s="66">
        <v>100.3003868030892</v>
      </c>
      <c r="AG28" s="66">
        <v>100.53993132639478</v>
      </c>
      <c r="AH28" s="66">
        <v>100.4010978039541</v>
      </c>
      <c r="AI28" s="66">
        <v>100.33245754953415</v>
      </c>
      <c r="AJ28" s="66">
        <v>99.938872544879857</v>
      </c>
      <c r="AK28" s="66">
        <v>100.11903050662764</v>
      </c>
      <c r="AL28" s="66">
        <v>99.5126755757598</v>
      </c>
      <c r="AM28" s="66">
        <v>100.39509611258917</v>
      </c>
      <c r="AN28" s="66">
        <v>100.31391217006411</v>
      </c>
      <c r="AO28" s="66">
        <v>100.30816217686791</v>
      </c>
      <c r="AP28" s="66">
        <v>100.18057035248066</v>
      </c>
      <c r="AQ28" s="66">
        <v>99.735496840199971</v>
      </c>
      <c r="AR28" s="66">
        <v>100.6318840213184</v>
      </c>
      <c r="AS28" s="66">
        <v>100.38974918965134</v>
      </c>
      <c r="AT28" s="66">
        <v>100.31597841174148</v>
      </c>
      <c r="AU28" s="66">
        <v>100.67621854726337</v>
      </c>
      <c r="AV28" s="66">
        <v>100.64454006441348</v>
      </c>
      <c r="AW28" s="66">
        <v>100.6199867036383</v>
      </c>
      <c r="AX28" s="66">
        <v>100.57550116874425</v>
      </c>
      <c r="AY28" s="66">
        <v>100.41126350503006</v>
      </c>
      <c r="AZ28" s="66">
        <v>100.45206885131341</v>
      </c>
      <c r="BA28" s="66">
        <v>100.31369729436632</v>
      </c>
      <c r="BB28" s="66">
        <v>100.5179070118779</v>
      </c>
      <c r="BC28" s="66">
        <v>100.19080324358568</v>
      </c>
    </row>
    <row r="29" spans="3:55" ht="14.25" customHeight="1" x14ac:dyDescent="0.5">
      <c r="C29" s="63"/>
      <c r="E29" s="73">
        <v>45950</v>
      </c>
      <c r="F29" s="66">
        <v>100.1877416577906</v>
      </c>
      <c r="G29" s="66">
        <v>100.33819392051493</v>
      </c>
      <c r="H29" s="66">
        <v>100.39155069394673</v>
      </c>
      <c r="I29" s="66">
        <v>100.38784526229604</v>
      </c>
      <c r="J29" s="66">
        <v>100.18343034932613</v>
      </c>
      <c r="K29" s="66">
        <v>100.64167537680706</v>
      </c>
      <c r="L29" s="66">
        <v>100.2765177611162</v>
      </c>
      <c r="M29" s="66">
        <v>100.41882991828737</v>
      </c>
      <c r="N29" s="66">
        <v>100.27099510409039</v>
      </c>
      <c r="O29" s="66">
        <v>101.69174832050167</v>
      </c>
      <c r="P29" s="66">
        <v>100.25069198684157</v>
      </c>
      <c r="Q29" s="66">
        <v>100.03108307050981</v>
      </c>
      <c r="R29" s="66">
        <v>100.46510019411866</v>
      </c>
      <c r="S29" s="66">
        <v>100.41074208639397</v>
      </c>
      <c r="T29" s="66">
        <v>100.37382819212624</v>
      </c>
      <c r="U29" s="66">
        <v>100.76045427012241</v>
      </c>
      <c r="V29" s="66">
        <v>100.54406208425519</v>
      </c>
      <c r="W29" s="66">
        <v>100.23562228093446</v>
      </c>
      <c r="X29" s="66">
        <v>100.66137873523856</v>
      </c>
      <c r="Y29" s="66">
        <v>100.42325386384866</v>
      </c>
      <c r="Z29" s="66">
        <v>100.32756993552914</v>
      </c>
      <c r="AA29" s="66">
        <v>100.3474138566594</v>
      </c>
      <c r="AB29" s="66">
        <v>100.23301950511444</v>
      </c>
      <c r="AC29" s="66">
        <v>100.56651773240127</v>
      </c>
      <c r="AD29" s="66">
        <v>100.4115700578671</v>
      </c>
      <c r="AE29" s="66">
        <v>100.55646863354541</v>
      </c>
      <c r="AF29" s="66">
        <v>100.27270218876997</v>
      </c>
      <c r="AG29" s="66">
        <v>100.60784220291873</v>
      </c>
      <c r="AH29" s="66">
        <v>100.43582517701995</v>
      </c>
      <c r="AI29" s="66">
        <v>100.41704651474842</v>
      </c>
      <c r="AJ29" s="66">
        <v>100.02421629914747</v>
      </c>
      <c r="AK29" s="66">
        <v>100.29072701951226</v>
      </c>
      <c r="AL29" s="66">
        <v>99.764626757293669</v>
      </c>
      <c r="AM29" s="66">
        <v>100.31039195741847</v>
      </c>
      <c r="AN29" s="66">
        <v>100.43858378624374</v>
      </c>
      <c r="AO29" s="66">
        <v>100.43754201302632</v>
      </c>
      <c r="AP29" s="66">
        <v>100.12220714736192</v>
      </c>
      <c r="AQ29" s="66">
        <v>99.263860184848511</v>
      </c>
      <c r="AR29" s="66">
        <v>100.69835761147618</v>
      </c>
      <c r="AS29" s="66">
        <v>100.33728985848109</v>
      </c>
      <c r="AT29" s="66">
        <v>100.34354574673758</v>
      </c>
      <c r="AU29" s="66">
        <v>100.60147232908983</v>
      </c>
      <c r="AV29" s="66">
        <v>100.57829461612766</v>
      </c>
      <c r="AW29" s="66">
        <v>100.53513559007983</v>
      </c>
      <c r="AX29" s="66">
        <v>100.47332408381266</v>
      </c>
      <c r="AY29" s="66">
        <v>100.34040920896966</v>
      </c>
      <c r="AZ29" s="66">
        <v>100.39960229154551</v>
      </c>
      <c r="BA29" s="66">
        <v>100.26646539629611</v>
      </c>
      <c r="BB29" s="66">
        <v>100.54152204217317</v>
      </c>
      <c r="BC29" s="66">
        <v>100.19833921649884</v>
      </c>
    </row>
    <row r="30" spans="3:55" ht="14.25" customHeight="1" x14ac:dyDescent="0.5">
      <c r="C30" s="63"/>
      <c r="E30" s="73">
        <v>45951</v>
      </c>
      <c r="F30" s="66">
        <v>100.21698992314369</v>
      </c>
      <c r="G30" s="66">
        <v>100.35569290153465</v>
      </c>
      <c r="H30" s="66">
        <v>100.48334384491261</v>
      </c>
      <c r="I30" s="66">
        <v>100.46411628327004</v>
      </c>
      <c r="J30" s="66">
        <v>100.20887067558584</v>
      </c>
      <c r="K30" s="66">
        <v>100.78707600009692</v>
      </c>
      <c r="L30" s="66">
        <v>100.28873956490014</v>
      </c>
      <c r="M30" s="66">
        <v>100.45310118578487</v>
      </c>
      <c r="N30" s="66">
        <v>100.17999324205556</v>
      </c>
      <c r="O30" s="66">
        <v>102.04747064078357</v>
      </c>
      <c r="P30" s="66">
        <v>100.27980705569689</v>
      </c>
      <c r="Q30" s="66">
        <v>100.27216062993134</v>
      </c>
      <c r="R30" s="66">
        <v>100.5683979948443</v>
      </c>
      <c r="S30" s="66">
        <v>100.48283477825103</v>
      </c>
      <c r="T30" s="66">
        <v>100.40503340055368</v>
      </c>
      <c r="U30" s="66">
        <v>100.69735962316081</v>
      </c>
      <c r="V30" s="66">
        <v>100.53453521403401</v>
      </c>
      <c r="W30" s="66">
        <v>100.39621763334472</v>
      </c>
      <c r="X30" s="66">
        <v>100.74607069086669</v>
      </c>
      <c r="Y30" s="66">
        <v>100.46108073570664</v>
      </c>
      <c r="Z30" s="66">
        <v>100.37394154586212</v>
      </c>
      <c r="AA30" s="66">
        <v>100.37081487357078</v>
      </c>
      <c r="AB30" s="66">
        <v>100.26052588459096</v>
      </c>
      <c r="AC30" s="66">
        <v>100.64121119141161</v>
      </c>
      <c r="AD30" s="66">
        <v>100.49367528054367</v>
      </c>
      <c r="AE30" s="66">
        <v>100.6197644514119</v>
      </c>
      <c r="AF30" s="66">
        <v>100.30632733070902</v>
      </c>
      <c r="AG30" s="66">
        <v>100.6634039412465</v>
      </c>
      <c r="AH30" s="66">
        <v>100.4624607578569</v>
      </c>
      <c r="AI30" s="66">
        <v>100.49735171760869</v>
      </c>
      <c r="AJ30" s="66">
        <v>99.845590756660243</v>
      </c>
      <c r="AK30" s="66">
        <v>100.33579647907283</v>
      </c>
      <c r="AL30" s="66">
        <v>100.46526482920375</v>
      </c>
      <c r="AM30" s="66">
        <v>100.38566913903431</v>
      </c>
      <c r="AN30" s="66">
        <v>100.49775802447398</v>
      </c>
      <c r="AO30" s="66">
        <v>100.50805666030786</v>
      </c>
      <c r="AP30" s="66">
        <v>100.25139544344306</v>
      </c>
      <c r="AQ30" s="66">
        <v>99.288676149894727</v>
      </c>
      <c r="AR30" s="66">
        <v>100.80330963564099</v>
      </c>
      <c r="AS30" s="66">
        <v>100.38563020975857</v>
      </c>
      <c r="AT30" s="66">
        <v>100.36674331495809</v>
      </c>
      <c r="AU30" s="66">
        <v>100.70183680280186</v>
      </c>
      <c r="AV30" s="66">
        <v>100.66216420426446</v>
      </c>
      <c r="AW30" s="66">
        <v>100.5968303156323</v>
      </c>
      <c r="AX30" s="66">
        <v>100.52121807676382</v>
      </c>
      <c r="AY30" s="66">
        <v>100.3740343699903</v>
      </c>
      <c r="AZ30" s="66">
        <v>100.42423000600949</v>
      </c>
      <c r="BA30" s="66">
        <v>100.2833210349108</v>
      </c>
      <c r="BB30" s="66">
        <v>100.63845204058345</v>
      </c>
      <c r="BC30" s="66">
        <v>100.2404926405583</v>
      </c>
    </row>
    <row r="31" spans="3:55" ht="14.25" customHeight="1" x14ac:dyDescent="0.5">
      <c r="C31" s="63"/>
      <c r="E31" s="73">
        <v>45952</v>
      </c>
      <c r="F31" s="66">
        <v>100.24183413301839</v>
      </c>
      <c r="G31" s="66">
        <v>100.36890243192039</v>
      </c>
      <c r="H31" s="66">
        <v>100.51894451324092</v>
      </c>
      <c r="I31" s="66">
        <v>100.51358263899202</v>
      </c>
      <c r="J31" s="66">
        <v>100.22562559876279</v>
      </c>
      <c r="K31" s="66">
        <v>100.75095680989062</v>
      </c>
      <c r="L31" s="66">
        <v>100.32268229081278</v>
      </c>
      <c r="M31" s="66">
        <v>100.44542818723224</v>
      </c>
      <c r="N31" s="66">
        <v>100.23662542866927</v>
      </c>
      <c r="O31" s="66">
        <v>102.06740992728723</v>
      </c>
      <c r="P31" s="66">
        <v>100.33028265088444</v>
      </c>
      <c r="Q31" s="66">
        <v>100.31988151328422</v>
      </c>
      <c r="R31" s="66">
        <v>100.55363013773444</v>
      </c>
      <c r="S31" s="66">
        <v>100.50453907056314</v>
      </c>
      <c r="T31" s="66">
        <v>100.42330711663257</v>
      </c>
      <c r="U31" s="66">
        <v>100.75271384167749</v>
      </c>
      <c r="V31" s="66">
        <v>100.47568656927595</v>
      </c>
      <c r="W31" s="66">
        <v>100.34109739171988</v>
      </c>
      <c r="X31" s="66">
        <v>100.72254711443345</v>
      </c>
      <c r="Y31" s="66">
        <v>100.43536145243114</v>
      </c>
      <c r="Z31" s="66">
        <v>100.3938136236244</v>
      </c>
      <c r="AA31" s="66">
        <v>100.3942213475993</v>
      </c>
      <c r="AB31" s="66">
        <v>100.2660457155704</v>
      </c>
      <c r="AC31" s="66">
        <v>100.66460909869959</v>
      </c>
      <c r="AD31" s="66">
        <v>100.46469841143237</v>
      </c>
      <c r="AE31" s="66">
        <v>100.58210021638723</v>
      </c>
      <c r="AF31" s="66">
        <v>100.38109857392081</v>
      </c>
      <c r="AG31" s="66">
        <v>100.69427001481812</v>
      </c>
      <c r="AH31" s="66">
        <v>100.44450201240335</v>
      </c>
      <c r="AI31" s="66">
        <v>100.47530543047898</v>
      </c>
      <c r="AJ31" s="66">
        <v>99.885539759016694</v>
      </c>
      <c r="AK31" s="66">
        <v>100.35467111547055</v>
      </c>
      <c r="AL31" s="66">
        <v>100.31281072709933</v>
      </c>
      <c r="AM31" s="66">
        <v>100.46719837861623</v>
      </c>
      <c r="AN31" s="66">
        <v>100.50455699912678</v>
      </c>
      <c r="AO31" s="66">
        <v>100.50713930152492</v>
      </c>
      <c r="AP31" s="66">
        <v>100.34205452082824</v>
      </c>
      <c r="AQ31" s="66">
        <v>98.288619468096172</v>
      </c>
      <c r="AR31" s="66">
        <v>100.86550125371392</v>
      </c>
      <c r="AS31" s="66">
        <v>100.37749612952283</v>
      </c>
      <c r="AT31" s="66">
        <v>100.39869109825048</v>
      </c>
      <c r="AU31" s="66">
        <v>100.7526764861516</v>
      </c>
      <c r="AV31" s="66">
        <v>100.7123426000564</v>
      </c>
      <c r="AW31" s="66">
        <v>100.65503887931685</v>
      </c>
      <c r="AX31" s="66">
        <v>100.55913174887313</v>
      </c>
      <c r="AY31" s="66">
        <v>100.39916962322113</v>
      </c>
      <c r="AZ31" s="66">
        <v>100.4555694330477</v>
      </c>
      <c r="BA31" s="66">
        <v>100.29487367349402</v>
      </c>
      <c r="BB31" s="66">
        <v>100.66208729044554</v>
      </c>
      <c r="BC31" s="66">
        <v>100.26101871383582</v>
      </c>
    </row>
    <row r="32" spans="3:55" ht="14.25" customHeight="1" x14ac:dyDescent="0.5">
      <c r="C32" s="63"/>
      <c r="E32" s="73">
        <v>45953</v>
      </c>
      <c r="F32" s="66">
        <v>100.21819374806576</v>
      </c>
      <c r="G32" s="66">
        <v>100.33915509939958</v>
      </c>
      <c r="H32" s="66">
        <v>100.44633130660597</v>
      </c>
      <c r="I32" s="66">
        <v>100.39763428884208</v>
      </c>
      <c r="J32" s="66">
        <v>100.24672933066948</v>
      </c>
      <c r="K32" s="66">
        <v>100.77396832842599</v>
      </c>
      <c r="L32" s="66">
        <v>100.27839206551921</v>
      </c>
      <c r="M32" s="66">
        <v>100.42093371848959</v>
      </c>
      <c r="N32" s="66">
        <v>100.22377667581911</v>
      </c>
      <c r="O32" s="66">
        <v>101.8168321649493</v>
      </c>
      <c r="P32" s="66">
        <v>100.38930013908184</v>
      </c>
      <c r="Q32" s="66">
        <v>100.28334033280902</v>
      </c>
      <c r="R32" s="66">
        <v>100.52355765724381</v>
      </c>
      <c r="S32" s="66">
        <v>100.49682535576993</v>
      </c>
      <c r="T32" s="66">
        <v>100.35522118350494</v>
      </c>
      <c r="U32" s="66">
        <v>100.61739406947778</v>
      </c>
      <c r="V32" s="66">
        <v>100.44963189930037</v>
      </c>
      <c r="W32" s="66">
        <v>100.35935947144517</v>
      </c>
      <c r="X32" s="66">
        <v>100.59878649290206</v>
      </c>
      <c r="Y32" s="66">
        <v>100.36289585641323</v>
      </c>
      <c r="Z32" s="66">
        <v>100.40684628155137</v>
      </c>
      <c r="AA32" s="66">
        <v>100.41763328001757</v>
      </c>
      <c r="AB32" s="66">
        <v>100.24515449505385</v>
      </c>
      <c r="AC32" s="66">
        <v>100.60239938026137</v>
      </c>
      <c r="AD32" s="66">
        <v>100.44903496688502</v>
      </c>
      <c r="AE32" s="66">
        <v>100.48361457363211</v>
      </c>
      <c r="AF32" s="66">
        <v>100.39414811673541</v>
      </c>
      <c r="AG32" s="66">
        <v>100.5931507947312</v>
      </c>
      <c r="AH32" s="66">
        <v>100.47925117977535</v>
      </c>
      <c r="AI32" s="66">
        <v>100.43613023675503</v>
      </c>
      <c r="AJ32" s="66">
        <v>99.89360763851866</v>
      </c>
      <c r="AK32" s="66">
        <v>100.36917630651213</v>
      </c>
      <c r="AL32" s="66">
        <v>100.05844489399865</v>
      </c>
      <c r="AM32" s="66">
        <v>100.49635692893699</v>
      </c>
      <c r="AN32" s="66">
        <v>100.59428067076885</v>
      </c>
      <c r="AO32" s="66">
        <v>100.44727693863544</v>
      </c>
      <c r="AP32" s="66">
        <v>100.21642191458066</v>
      </c>
      <c r="AQ32" s="66">
        <v>98.715748589673709</v>
      </c>
      <c r="AR32" s="66">
        <v>100.89350122226841</v>
      </c>
      <c r="AS32" s="66">
        <v>100.37741275627063</v>
      </c>
      <c r="AT32" s="66">
        <v>100.36938397981292</v>
      </c>
      <c r="AU32" s="66">
        <v>100.61628154887266</v>
      </c>
      <c r="AV32" s="66">
        <v>100.58381211447798</v>
      </c>
      <c r="AW32" s="66">
        <v>100.50385567419245</v>
      </c>
      <c r="AX32" s="66">
        <v>100.42791221499353</v>
      </c>
      <c r="AY32" s="66">
        <v>100.33458187537727</v>
      </c>
      <c r="AZ32" s="66">
        <v>100.40930808799953</v>
      </c>
      <c r="BA32" s="66">
        <v>100.26661354013093</v>
      </c>
      <c r="BB32" s="66">
        <v>100.60370297430445</v>
      </c>
      <c r="BC32" s="66">
        <v>100.24691518602886</v>
      </c>
    </row>
    <row r="33" spans="3:55" ht="14.25" customHeight="1" x14ac:dyDescent="0.5">
      <c r="C33" s="63"/>
      <c r="E33" s="73">
        <v>45954</v>
      </c>
      <c r="F33" s="66">
        <v>100.24745268930177</v>
      </c>
      <c r="G33" s="66">
        <v>100.3695423266301</v>
      </c>
      <c r="H33" s="66">
        <v>100.45595645144651</v>
      </c>
      <c r="I33" s="66">
        <v>100.45608424504177</v>
      </c>
      <c r="J33" s="66">
        <v>100.26783707224898</v>
      </c>
      <c r="K33" s="66">
        <v>100.877215333078</v>
      </c>
      <c r="L33" s="66">
        <v>100.32104131819428</v>
      </c>
      <c r="M33" s="66">
        <v>100.44262464017278</v>
      </c>
      <c r="N33" s="66">
        <v>100.27174219300922</v>
      </c>
      <c r="O33" s="66">
        <v>101.82335204521966</v>
      </c>
      <c r="P33" s="66">
        <v>100.4141704107692</v>
      </c>
      <c r="Q33" s="66">
        <v>100.45478607579344</v>
      </c>
      <c r="R33" s="66">
        <v>100.53543172393586</v>
      </c>
      <c r="S33" s="66">
        <v>100.54795310708987</v>
      </c>
      <c r="T33" s="66">
        <v>100.41234397384605</v>
      </c>
      <c r="U33" s="66">
        <v>100.85463511544209</v>
      </c>
      <c r="V33" s="66">
        <v>100.55505184146131</v>
      </c>
      <c r="W33" s="66">
        <v>100.41648076810969</v>
      </c>
      <c r="X33" s="66">
        <v>100.6794417957226</v>
      </c>
      <c r="Y33" s="66">
        <v>100.53209162333799</v>
      </c>
      <c r="Z33" s="66">
        <v>100.40233450444948</v>
      </c>
      <c r="AA33" s="66">
        <v>100.44105067209847</v>
      </c>
      <c r="AB33" s="66">
        <v>100.28147401075366</v>
      </c>
      <c r="AC33" s="66">
        <v>100.6856993433786</v>
      </c>
      <c r="AD33" s="66">
        <v>100.49118846710803</v>
      </c>
      <c r="AE33" s="66">
        <v>100.59146985840729</v>
      </c>
      <c r="AF33" s="66">
        <v>100.37654640071051</v>
      </c>
      <c r="AG33" s="66">
        <v>100.70646107302794</v>
      </c>
      <c r="AH33" s="66">
        <v>100.52212193545974</v>
      </c>
      <c r="AI33" s="66">
        <v>100.46101169161986</v>
      </c>
      <c r="AJ33" s="66">
        <v>100.02911148380817</v>
      </c>
      <c r="AK33" s="66">
        <v>100.46233003257096</v>
      </c>
      <c r="AL33" s="66">
        <v>100.35191076765281</v>
      </c>
      <c r="AM33" s="66">
        <v>100.51261538761311</v>
      </c>
      <c r="AN33" s="66">
        <v>100.67525710580186</v>
      </c>
      <c r="AO33" s="66">
        <v>100.50103315092986</v>
      </c>
      <c r="AP33" s="66">
        <v>100.02774969938481</v>
      </c>
      <c r="AQ33" s="66">
        <v>99.659142073278829</v>
      </c>
      <c r="AR33" s="66">
        <v>100.9514370670158</v>
      </c>
      <c r="AS33" s="66">
        <v>100.40963833498643</v>
      </c>
      <c r="AT33" s="66">
        <v>100.41446800982078</v>
      </c>
      <c r="AU33" s="66">
        <v>100.58801474928467</v>
      </c>
      <c r="AV33" s="66">
        <v>100.55819910760599</v>
      </c>
      <c r="AW33" s="66">
        <v>100.49897124066881</v>
      </c>
      <c r="AX33" s="66">
        <v>100.4174555992206</v>
      </c>
      <c r="AY33" s="66">
        <v>100.3520641664601</v>
      </c>
      <c r="AZ33" s="66">
        <v>100.42093334707697</v>
      </c>
      <c r="BA33" s="66">
        <v>100.27108437520691</v>
      </c>
      <c r="BB33" s="66">
        <v>100.67049806640311</v>
      </c>
      <c r="BC33" s="66">
        <v>100.27177479557596</v>
      </c>
    </row>
    <row r="34" spans="3:55" ht="14.25" customHeight="1" x14ac:dyDescent="0.5">
      <c r="C34" s="63"/>
      <c r="E34" s="73">
        <v>45957</v>
      </c>
      <c r="F34" s="66">
        <v>100.25026289762643</v>
      </c>
      <c r="G34" s="66">
        <v>100.36125899745733</v>
      </c>
      <c r="H34" s="66">
        <v>100.50456849077308</v>
      </c>
      <c r="I34" s="66">
        <v>100.42508504482737</v>
      </c>
      <c r="J34" s="66">
        <v>100.28894882424949</v>
      </c>
      <c r="K34" s="66">
        <v>100.98042116059347</v>
      </c>
      <c r="L34" s="66">
        <v>100.33326638009706</v>
      </c>
      <c r="M34" s="66">
        <v>100.51050963909128</v>
      </c>
      <c r="N34" s="66">
        <v>100.29365390562427</v>
      </c>
      <c r="O34" s="66">
        <v>101.98506278163811</v>
      </c>
      <c r="P34" s="66">
        <v>100.42195980748255</v>
      </c>
      <c r="Q34" s="66">
        <v>100.55190963970902</v>
      </c>
      <c r="R34" s="66">
        <v>100.59310914715361</v>
      </c>
      <c r="S34" s="66">
        <v>100.58648279190631</v>
      </c>
      <c r="T34" s="66">
        <v>100.41766278557225</v>
      </c>
      <c r="U34" s="66">
        <v>100.93535626561388</v>
      </c>
      <c r="V34" s="66">
        <v>100.69321964937055</v>
      </c>
      <c r="W34" s="66">
        <v>100.39587855885291</v>
      </c>
      <c r="X34" s="66">
        <v>100.81005462689184</v>
      </c>
      <c r="Y34" s="66">
        <v>100.56994961841286</v>
      </c>
      <c r="Z34" s="66">
        <v>100.40080819259359</v>
      </c>
      <c r="AA34" s="66">
        <v>100.46447352511521</v>
      </c>
      <c r="AB34" s="66">
        <v>100.28258805237424</v>
      </c>
      <c r="AC34" s="66">
        <v>100.73477539912305</v>
      </c>
      <c r="AD34" s="66">
        <v>100.55112043324993</v>
      </c>
      <c r="AE34" s="66">
        <v>100.65888151159642</v>
      </c>
      <c r="AF34" s="66">
        <v>100.41018192367447</v>
      </c>
      <c r="AG34" s="66">
        <v>100.79501739657744</v>
      </c>
      <c r="AH34" s="66">
        <v>100.540665866325</v>
      </c>
      <c r="AI34" s="66">
        <v>100.46025700880908</v>
      </c>
      <c r="AJ34" s="66">
        <v>100.05541717000425</v>
      </c>
      <c r="AK34" s="66">
        <v>100.44625959122406</v>
      </c>
      <c r="AL34" s="66">
        <v>100.70793418375067</v>
      </c>
      <c r="AM34" s="66">
        <v>100.53278793141173</v>
      </c>
      <c r="AN34" s="66">
        <v>100.80410011581102</v>
      </c>
      <c r="AO34" s="66">
        <v>100.58842501725316</v>
      </c>
      <c r="AP34" s="66">
        <v>100.29165461498789</v>
      </c>
      <c r="AQ34" s="66">
        <v>99.855009208745983</v>
      </c>
      <c r="AR34" s="66">
        <v>101.15442682489817</v>
      </c>
      <c r="AS34" s="66">
        <v>100.48629495396301</v>
      </c>
      <c r="AT34" s="66">
        <v>100.41141913155779</v>
      </c>
      <c r="AU34" s="66">
        <v>100.73037868772974</v>
      </c>
      <c r="AV34" s="66">
        <v>100.68157916125787</v>
      </c>
      <c r="AW34" s="66">
        <v>100.59121653061779</v>
      </c>
      <c r="AX34" s="66">
        <v>100.47686921314551</v>
      </c>
      <c r="AY34" s="66">
        <v>100.37720746768747</v>
      </c>
      <c r="AZ34" s="66">
        <v>100.45186876913681</v>
      </c>
      <c r="BA34" s="66">
        <v>100.29458276466342</v>
      </c>
      <c r="BB34" s="66">
        <v>100.73728593333217</v>
      </c>
      <c r="BC34" s="66">
        <v>100.28364800198472</v>
      </c>
    </row>
    <row r="35" spans="3:55" ht="14.25" customHeight="1" x14ac:dyDescent="0.5">
      <c r="C35" s="63"/>
      <c r="E35" s="73">
        <v>45958</v>
      </c>
      <c r="F35" s="66">
        <v>100.24866046289814</v>
      </c>
      <c r="G35" s="66">
        <v>100.39165673243933</v>
      </c>
      <c r="H35" s="66">
        <v>100.55751814567191</v>
      </c>
      <c r="I35" s="66">
        <v>100.48355098243435</v>
      </c>
      <c r="J35" s="66">
        <v>100.31006458741932</v>
      </c>
      <c r="K35" s="66">
        <v>101.06252099728469</v>
      </c>
      <c r="L35" s="66">
        <v>100.34114312567512</v>
      </c>
      <c r="M35" s="66">
        <v>100.52381980143845</v>
      </c>
      <c r="N35" s="66">
        <v>100.31122535378853</v>
      </c>
      <c r="O35" s="66">
        <v>102.04484682137583</v>
      </c>
      <c r="P35" s="66">
        <v>100.39553999756085</v>
      </c>
      <c r="Q35" s="66">
        <v>100.56498138796218</v>
      </c>
      <c r="R35" s="66">
        <v>100.6279035430377</v>
      </c>
      <c r="S35" s="66">
        <v>100.62502076907977</v>
      </c>
      <c r="T35" s="66">
        <v>100.46184879412901</v>
      </c>
      <c r="U35" s="66">
        <v>100.94846010316147</v>
      </c>
      <c r="V35" s="66">
        <v>100.74115168622626</v>
      </c>
      <c r="W35" s="66">
        <v>100.44006781343522</v>
      </c>
      <c r="X35" s="66">
        <v>100.84485381118721</v>
      </c>
      <c r="Y35" s="66">
        <v>100.55271308009273</v>
      </c>
      <c r="Z35" s="66">
        <v>100.43139023201151</v>
      </c>
      <c r="AA35" s="66">
        <v>100.48790184034127</v>
      </c>
      <c r="AB35" s="66">
        <v>100.3013109507709</v>
      </c>
      <c r="AC35" s="66">
        <v>100.74963620972274</v>
      </c>
      <c r="AD35" s="66">
        <v>100.57549643822141</v>
      </c>
      <c r="AE35" s="66">
        <v>100.70204704181761</v>
      </c>
      <c r="AF35" s="66">
        <v>100.45845042137792</v>
      </c>
      <c r="AG35" s="66">
        <v>100.81355556112594</v>
      </c>
      <c r="AH35" s="66">
        <v>100.62005651876669</v>
      </c>
      <c r="AI35" s="66">
        <v>100.48942035830069</v>
      </c>
      <c r="AJ35" s="66">
        <v>99.999748671154421</v>
      </c>
      <c r="AK35" s="66">
        <v>100.5438184841736</v>
      </c>
      <c r="AL35" s="66">
        <v>100.70417237731171</v>
      </c>
      <c r="AM35" s="66">
        <v>100.57135846909222</v>
      </c>
      <c r="AN35" s="66">
        <v>100.82841563038232</v>
      </c>
      <c r="AO35" s="66">
        <v>100.65478578767097</v>
      </c>
      <c r="AP35" s="66">
        <v>100.40632969938004</v>
      </c>
      <c r="AQ35" s="66">
        <v>98.779367361347795</v>
      </c>
      <c r="AR35" s="66">
        <v>101.12697711626139</v>
      </c>
      <c r="AS35" s="66">
        <v>100.50239191002417</v>
      </c>
      <c r="AT35" s="66">
        <v>100.38645958879235</v>
      </c>
      <c r="AU35" s="66">
        <v>100.73082662991591</v>
      </c>
      <c r="AV35" s="66">
        <v>100.67178775199677</v>
      </c>
      <c r="AW35" s="66">
        <v>100.59114688444096</v>
      </c>
      <c r="AX35" s="66">
        <v>100.4704145476022</v>
      </c>
      <c r="AY35" s="66">
        <v>100.38278125782666</v>
      </c>
      <c r="AZ35" s="66">
        <v>100.45678062471673</v>
      </c>
      <c r="BA35" s="66">
        <v>100.29595731164049</v>
      </c>
      <c r="BB35" s="66">
        <v>100.76525661403502</v>
      </c>
      <c r="BC35" s="66">
        <v>100.29119009669381</v>
      </c>
    </row>
    <row r="36" spans="3:55" ht="14.25" customHeight="1" x14ac:dyDescent="0.5">
      <c r="C36" s="63"/>
      <c r="E36" s="73">
        <v>45959</v>
      </c>
      <c r="F36" s="66">
        <v>100.17639786011756</v>
      </c>
      <c r="G36" s="66">
        <v>100.31448629756596</v>
      </c>
      <c r="H36" s="66">
        <v>100.52381606767889</v>
      </c>
      <c r="I36" s="66">
        <v>100.37187057820138</v>
      </c>
      <c r="J36" s="66">
        <v>100.28768549965208</v>
      </c>
      <c r="K36" s="66">
        <v>100.67459359400819</v>
      </c>
      <c r="L36" s="66">
        <v>100.24447426896819</v>
      </c>
      <c r="M36" s="66">
        <v>100.41089308578304</v>
      </c>
      <c r="N36" s="66">
        <v>100.22873631544995</v>
      </c>
      <c r="O36" s="66">
        <v>101.99819693588316</v>
      </c>
      <c r="P36" s="66">
        <v>100.4246929382178</v>
      </c>
      <c r="Q36" s="66">
        <v>100.34498969262451</v>
      </c>
      <c r="R36" s="66">
        <v>100.44840698253979</v>
      </c>
      <c r="S36" s="66">
        <v>100.49516262816353</v>
      </c>
      <c r="T36" s="66">
        <v>100.32003836015554</v>
      </c>
      <c r="U36" s="66">
        <v>100.68576456722663</v>
      </c>
      <c r="V36" s="66">
        <v>100.53000150092633</v>
      </c>
      <c r="W36" s="66">
        <v>100.43241929363279</v>
      </c>
      <c r="X36" s="66">
        <v>100.57865431907111</v>
      </c>
      <c r="Y36" s="66">
        <v>100.39941725383326</v>
      </c>
      <c r="Z36" s="66">
        <v>100.44999012548247</v>
      </c>
      <c r="AA36" s="66">
        <v>100.51133561905044</v>
      </c>
      <c r="AB36" s="66">
        <v>100.24512663896174</v>
      </c>
      <c r="AC36" s="66">
        <v>100.46817379015383</v>
      </c>
      <c r="AD36" s="66">
        <v>100.31444766050791</v>
      </c>
      <c r="AE36" s="66">
        <v>100.48169998116785</v>
      </c>
      <c r="AF36" s="66">
        <v>100.47151001993269</v>
      </c>
      <c r="AG36" s="66">
        <v>100.51770664096126</v>
      </c>
      <c r="AH36" s="66">
        <v>100.5492716192457</v>
      </c>
      <c r="AI36" s="66">
        <v>100.37301712455574</v>
      </c>
      <c r="AJ36" s="66">
        <v>99.756467779160161</v>
      </c>
      <c r="AK36" s="66">
        <v>100.57148814302043</v>
      </c>
      <c r="AL36" s="66">
        <v>100.55177250885163</v>
      </c>
      <c r="AM36" s="66">
        <v>100.59702427977354</v>
      </c>
      <c r="AN36" s="66">
        <v>100.58178442270615</v>
      </c>
      <c r="AO36" s="66">
        <v>100.37960899533009</v>
      </c>
      <c r="AP36" s="66">
        <v>100.28070578724673</v>
      </c>
      <c r="AQ36" s="66">
        <v>99.038822970281799</v>
      </c>
      <c r="AR36" s="66">
        <v>101.30000851012171</v>
      </c>
      <c r="AS36" s="66">
        <v>100.53061298167252</v>
      </c>
      <c r="AT36" s="66">
        <v>100.33954147354335</v>
      </c>
      <c r="AU36" s="66">
        <v>100.74795087044299</v>
      </c>
      <c r="AV36" s="66">
        <v>100.68741201345588</v>
      </c>
      <c r="AW36" s="66">
        <v>100.60675863043743</v>
      </c>
      <c r="AX36" s="66">
        <v>100.47543806832959</v>
      </c>
      <c r="AY36" s="66">
        <v>100.3998463306405</v>
      </c>
      <c r="AZ36" s="66">
        <v>100.47638978829468</v>
      </c>
      <c r="BA36" s="66">
        <v>100.3075114059228</v>
      </c>
      <c r="BB36" s="66">
        <v>100.53793566548968</v>
      </c>
      <c r="BC36" s="66">
        <v>100.21631679925724</v>
      </c>
    </row>
    <row r="37" spans="3:55" ht="14.25" customHeight="1" x14ac:dyDescent="0.5">
      <c r="C37" s="63"/>
      <c r="E37" s="73">
        <v>45960</v>
      </c>
      <c r="F37" s="66">
        <v>100.15709246185027</v>
      </c>
      <c r="G37" s="66">
        <v>100.31906439895285</v>
      </c>
      <c r="H37" s="66">
        <v>100.45096257823123</v>
      </c>
      <c r="I37" s="66">
        <v>100.35870729015006</v>
      </c>
      <c r="J37" s="66">
        <v>100.29139838098192</v>
      </c>
      <c r="K37" s="66">
        <v>100.40825958233383</v>
      </c>
      <c r="L37" s="66">
        <v>100.24360297539752</v>
      </c>
      <c r="M37" s="66">
        <v>100.41153047608422</v>
      </c>
      <c r="N37" s="66">
        <v>100.23323840672067</v>
      </c>
      <c r="O37" s="66">
        <v>101.96477636453439</v>
      </c>
      <c r="P37" s="66">
        <v>100.42391129070919</v>
      </c>
      <c r="Q37" s="66">
        <v>100.21889876646173</v>
      </c>
      <c r="R37" s="66">
        <v>100.43338462688838</v>
      </c>
      <c r="S37" s="66">
        <v>100.49580055339261</v>
      </c>
      <c r="T37" s="66">
        <v>100.31231661883945</v>
      </c>
      <c r="U37" s="66">
        <v>100.61802734860768</v>
      </c>
      <c r="V37" s="66">
        <v>100.40898203829164</v>
      </c>
      <c r="W37" s="66">
        <v>100.3987984393785</v>
      </c>
      <c r="X37" s="66">
        <v>100.52133426541661</v>
      </c>
      <c r="Y37" s="66">
        <v>100.26699371269315</v>
      </c>
      <c r="Z37" s="66">
        <v>100.4685934636537</v>
      </c>
      <c r="AA37" s="66">
        <v>100.53477486251681</v>
      </c>
      <c r="AB37" s="66">
        <v>100.24621621476211</v>
      </c>
      <c r="AC37" s="66">
        <v>100.39262393877924</v>
      </c>
      <c r="AD37" s="66">
        <v>99.736785288965294</v>
      </c>
      <c r="AE37" s="66">
        <v>100.35422266510986</v>
      </c>
      <c r="AF37" s="66">
        <v>100.48457131623528</v>
      </c>
      <c r="AG37" s="66">
        <v>100.46158317649559</v>
      </c>
      <c r="AH37" s="66">
        <v>100.49867397191997</v>
      </c>
      <c r="AI37" s="66">
        <v>100.38504532415922</v>
      </c>
      <c r="AJ37" s="66">
        <v>99.443154407747116</v>
      </c>
      <c r="AK37" s="66">
        <v>100.59479349899833</v>
      </c>
      <c r="AL37" s="66">
        <v>100.38286221663854</v>
      </c>
      <c r="AM37" s="66">
        <v>100.62269664036974</v>
      </c>
      <c r="AN37" s="66">
        <v>100.47908307528638</v>
      </c>
      <c r="AO37" s="66">
        <v>100.31094543842606</v>
      </c>
      <c r="AP37" s="66">
        <v>100.18376662582877</v>
      </c>
      <c r="AQ37" s="66">
        <v>98.983203699706038</v>
      </c>
      <c r="AR37" s="66">
        <v>101.19144422161727</v>
      </c>
      <c r="AS37" s="66">
        <v>100.42524491626963</v>
      </c>
      <c r="AT37" s="66">
        <v>100.37152634730093</v>
      </c>
      <c r="AU37" s="66">
        <v>100.76507802209096</v>
      </c>
      <c r="AV37" s="66">
        <v>100.70303869980037</v>
      </c>
      <c r="AW37" s="66">
        <v>100.62237279937688</v>
      </c>
      <c r="AX37" s="66">
        <v>100.48046184023302</v>
      </c>
      <c r="AY37" s="66">
        <v>100.41691430451671</v>
      </c>
      <c r="AZ37" s="66">
        <v>100.49600277958136</v>
      </c>
      <c r="BA37" s="66">
        <v>100.31906683123675</v>
      </c>
      <c r="BB37" s="66">
        <v>100.34890581108021</v>
      </c>
      <c r="BC37" s="66">
        <v>100.2845421189521</v>
      </c>
    </row>
    <row r="38" spans="3:55" ht="14.25" customHeight="1" x14ac:dyDescent="0.5">
      <c r="C38" s="63"/>
      <c r="E38" s="73">
        <v>45961</v>
      </c>
      <c r="F38" s="66">
        <v>100.16429176116273</v>
      </c>
      <c r="G38" s="66">
        <v>100.35378230553536</v>
      </c>
      <c r="H38" s="66">
        <v>100.39970554198845</v>
      </c>
      <c r="I38" s="66">
        <v>100.39036529318791</v>
      </c>
      <c r="J38" s="66">
        <v>100.30381433199869</v>
      </c>
      <c r="K38" s="66">
        <v>100.23917687314825</v>
      </c>
      <c r="L38" s="66">
        <v>100.26452175529171</v>
      </c>
      <c r="M38" s="66">
        <v>100.40373018858958</v>
      </c>
      <c r="N38" s="66">
        <v>100.28561342157495</v>
      </c>
      <c r="O38" s="66">
        <v>102.01130039146831</v>
      </c>
      <c r="P38" s="66">
        <v>100.48728504924112</v>
      </c>
      <c r="Q38" s="66">
        <v>100.05759981567044</v>
      </c>
      <c r="R38" s="66">
        <v>100.40681363445228</v>
      </c>
      <c r="S38" s="66">
        <v>100.49221121691303</v>
      </c>
      <c r="T38" s="66">
        <v>100.32624228925459</v>
      </c>
      <c r="U38" s="66">
        <v>100.51606097251747</v>
      </c>
      <c r="V38" s="66">
        <v>100.35379562307773</v>
      </c>
      <c r="W38" s="66">
        <v>100.43869609883049</v>
      </c>
      <c r="X38" s="66">
        <v>100.49326997943135</v>
      </c>
      <c r="Y38" s="66">
        <v>100.12992896872341</v>
      </c>
      <c r="Z38" s="66">
        <v>100.48720024716317</v>
      </c>
      <c r="AA38" s="66">
        <v>100.55821957201475</v>
      </c>
      <c r="AB38" s="66">
        <v>100.25612195745568</v>
      </c>
      <c r="AC38" s="66">
        <v>100.38156576837359</v>
      </c>
      <c r="AD38" s="66">
        <v>99.815070145988855</v>
      </c>
      <c r="AE38" s="66">
        <v>100.32420861610004</v>
      </c>
      <c r="AF38" s="66">
        <v>100.49763431050638</v>
      </c>
      <c r="AG38" s="66">
        <v>100.45929241793152</v>
      </c>
      <c r="AH38" s="66">
        <v>100.54972764814482</v>
      </c>
      <c r="AI38" s="66">
        <v>100.44419324412144</v>
      </c>
      <c r="AJ38" s="66">
        <v>99.317641615494338</v>
      </c>
      <c r="AK38" s="66">
        <v>100.57872378869664</v>
      </c>
      <c r="AL38" s="66">
        <v>100.6549732928722</v>
      </c>
      <c r="AM38" s="66">
        <v>100.64837555255237</v>
      </c>
      <c r="AN38" s="66">
        <v>100.38053475412734</v>
      </c>
      <c r="AO38" s="66">
        <v>100.25061860732603</v>
      </c>
      <c r="AP38" s="66">
        <v>100.17832746160052</v>
      </c>
      <c r="AQ38" s="66">
        <v>99.925874608166183</v>
      </c>
      <c r="AR38" s="66">
        <v>101.31766489381</v>
      </c>
      <c r="AS38" s="66">
        <v>100.45749448335037</v>
      </c>
      <c r="AT38" s="66">
        <v>100.37720994463444</v>
      </c>
      <c r="AU38" s="66">
        <v>100.78220808535471</v>
      </c>
      <c r="AV38" s="66">
        <v>100.71866781140659</v>
      </c>
      <c r="AW38" s="66">
        <v>100.63798939163534</v>
      </c>
      <c r="AX38" s="66">
        <v>100.48548586332504</v>
      </c>
      <c r="AY38" s="66">
        <v>100.43398517994848</v>
      </c>
      <c r="AZ38" s="66">
        <v>100.51561959932394</v>
      </c>
      <c r="BA38" s="66">
        <v>100.33062358773572</v>
      </c>
      <c r="BB38" s="66">
        <v>100.22027833967101</v>
      </c>
      <c r="BC38" s="66">
        <v>100.30508410805677</v>
      </c>
    </row>
    <row r="39" spans="3:55" ht="14.25" customHeight="1" x14ac:dyDescent="0.5">
      <c r="C39" s="63"/>
      <c r="E39" s="73">
        <v>45964</v>
      </c>
      <c r="F39" s="66">
        <v>100.16265040153029</v>
      </c>
      <c r="G39" s="66">
        <v>100.35836347721472</v>
      </c>
      <c r="H39" s="66">
        <v>100.45707978961022</v>
      </c>
      <c r="I39" s="66">
        <v>100.34129533585271</v>
      </c>
      <c r="J39" s="66">
        <v>100.320585129755</v>
      </c>
      <c r="K39" s="66">
        <v>100.23644859199759</v>
      </c>
      <c r="L39" s="66">
        <v>100.25928385741059</v>
      </c>
      <c r="M39" s="66">
        <v>100.36638373247781</v>
      </c>
      <c r="N39" s="66">
        <v>100.24220856715461</v>
      </c>
      <c r="O39" s="66">
        <v>102.00895127589494</v>
      </c>
      <c r="P39" s="66">
        <v>100.49507131752982</v>
      </c>
      <c r="Q39" s="66">
        <v>100.06562427933365</v>
      </c>
      <c r="R39" s="66">
        <v>100.37250097945372</v>
      </c>
      <c r="S39" s="66">
        <v>100.49282672428359</v>
      </c>
      <c r="T39" s="66">
        <v>100.2881493981903</v>
      </c>
      <c r="U39" s="66">
        <v>100.46507005282271</v>
      </c>
      <c r="V39" s="66">
        <v>100.343985631712</v>
      </c>
      <c r="W39" s="66">
        <v>100.52613167774238</v>
      </c>
      <c r="X39" s="66">
        <v>100.43996194620514</v>
      </c>
      <c r="Y39" s="66">
        <v>100.08665848965316</v>
      </c>
      <c r="Z39" s="66">
        <v>100.50581047664895</v>
      </c>
      <c r="AA39" s="66">
        <v>100.58166974881895</v>
      </c>
      <c r="AB39" s="66">
        <v>100.26161748615012</v>
      </c>
      <c r="AC39" s="66">
        <v>100.21509912460358</v>
      </c>
      <c r="AD39" s="66">
        <v>99.753960376548122</v>
      </c>
      <c r="AE39" s="66">
        <v>100.16354271272935</v>
      </c>
      <c r="AF39" s="66">
        <v>100.51069900296675</v>
      </c>
      <c r="AG39" s="66">
        <v>100.33649427158781</v>
      </c>
      <c r="AH39" s="66">
        <v>100.47865613828635</v>
      </c>
      <c r="AI39" s="66">
        <v>100.40478934536196</v>
      </c>
      <c r="AJ39" s="66">
        <v>99.237966726193505</v>
      </c>
      <c r="AK39" s="66">
        <v>100.65014946148459</v>
      </c>
      <c r="AL39" s="66">
        <v>100.57133857348209</v>
      </c>
      <c r="AM39" s="66">
        <v>100.67406101799338</v>
      </c>
      <c r="AN39" s="66">
        <v>100.22451834502192</v>
      </c>
      <c r="AO39" s="66">
        <v>100.19017953090126</v>
      </c>
      <c r="AP39" s="66">
        <v>100.11499679273905</v>
      </c>
      <c r="AQ39" s="66">
        <v>100.43710492790339</v>
      </c>
      <c r="AR39" s="66">
        <v>101.24322422698839</v>
      </c>
      <c r="AS39" s="66">
        <v>100.44111619326154</v>
      </c>
      <c r="AT39" s="66">
        <v>100.38727840156312</v>
      </c>
      <c r="AU39" s="66">
        <v>100.79934106072922</v>
      </c>
      <c r="AV39" s="66">
        <v>100.73429934865092</v>
      </c>
      <c r="AW39" s="66">
        <v>100.65360840758893</v>
      </c>
      <c r="AX39" s="66">
        <v>100.49051013761822</v>
      </c>
      <c r="AY39" s="66">
        <v>100.45105895742907</v>
      </c>
      <c r="AZ39" s="66">
        <v>100.53524024826973</v>
      </c>
      <c r="BA39" s="66">
        <v>100.34218167557302</v>
      </c>
      <c r="BB39" s="66">
        <v>100.06947489311105</v>
      </c>
      <c r="BC39" s="66">
        <v>100.32129340964863</v>
      </c>
    </row>
    <row r="40" spans="3:55" ht="14.25" customHeight="1" x14ac:dyDescent="0.5">
      <c r="C40" s="63"/>
      <c r="E40" s="73">
        <v>45965</v>
      </c>
      <c r="F40" s="66">
        <v>100.18752946915946</v>
      </c>
      <c r="G40" s="66">
        <v>100.39309328174917</v>
      </c>
      <c r="H40" s="66">
        <v>100.38397963588669</v>
      </c>
      <c r="I40" s="66">
        <v>100.45362422275043</v>
      </c>
      <c r="J40" s="66">
        <v>100.34606637157832</v>
      </c>
      <c r="K40" s="66">
        <v>100.4511425980192</v>
      </c>
      <c r="L40" s="66">
        <v>100.27584669110385</v>
      </c>
      <c r="M40" s="66">
        <v>100.41757870962513</v>
      </c>
      <c r="N40" s="66">
        <v>100.35550894919153</v>
      </c>
      <c r="O40" s="66">
        <v>101.82823097103424</v>
      </c>
      <c r="P40" s="66">
        <v>100.49001214347462</v>
      </c>
      <c r="Q40" s="66">
        <v>100.08361623443358</v>
      </c>
      <c r="R40" s="66">
        <v>100.43415054246231</v>
      </c>
      <c r="S40" s="66">
        <v>100.48498872608788</v>
      </c>
      <c r="T40" s="66">
        <v>100.30640184138076</v>
      </c>
      <c r="U40" s="66">
        <v>100.5802322159746</v>
      </c>
      <c r="V40" s="66">
        <v>100.38375278139524</v>
      </c>
      <c r="W40" s="66">
        <v>100.50118033331673</v>
      </c>
      <c r="X40" s="66">
        <v>100.36552023607047</v>
      </c>
      <c r="Y40" s="66">
        <v>100.18434895584726</v>
      </c>
      <c r="Z40" s="66">
        <v>100.4540894302997</v>
      </c>
      <c r="AA40" s="66">
        <v>100.60512539420438</v>
      </c>
      <c r="AB40" s="66">
        <v>100.29798531768068</v>
      </c>
      <c r="AC40" s="66">
        <v>100.30315545218561</v>
      </c>
      <c r="AD40" s="66">
        <v>99.93102442673478</v>
      </c>
      <c r="AE40" s="66">
        <v>100.25162256821035</v>
      </c>
      <c r="AF40" s="66">
        <v>100.3127542398959</v>
      </c>
      <c r="AG40" s="66">
        <v>100.45867027314823</v>
      </c>
      <c r="AH40" s="66">
        <v>100.57043950332528</v>
      </c>
      <c r="AI40" s="66">
        <v>100.47681874840907</v>
      </c>
      <c r="AJ40" s="66">
        <v>99.457354822329094</v>
      </c>
      <c r="AK40" s="66">
        <v>100.63407090823736</v>
      </c>
      <c r="AL40" s="66">
        <v>100.12346132824797</v>
      </c>
      <c r="AM40" s="66">
        <v>100.60050429910234</v>
      </c>
      <c r="AN40" s="66">
        <v>100.34981883008429</v>
      </c>
      <c r="AO40" s="66">
        <v>100.24410545178451</v>
      </c>
      <c r="AP40" s="66">
        <v>100.10953250746253</v>
      </c>
      <c r="AQ40" s="66">
        <v>99.819617602189297</v>
      </c>
      <c r="AR40" s="66">
        <v>101.10431379497014</v>
      </c>
      <c r="AS40" s="66">
        <v>100.48553605237682</v>
      </c>
      <c r="AT40" s="66">
        <v>100.33149326663232</v>
      </c>
      <c r="AU40" s="66">
        <v>100.50121467449452</v>
      </c>
      <c r="AV40" s="66">
        <v>100.44714185081533</v>
      </c>
      <c r="AW40" s="66">
        <v>100.44501708763575</v>
      </c>
      <c r="AX40" s="66">
        <v>100.33499687327379</v>
      </c>
      <c r="AY40" s="66">
        <v>100.36664461815398</v>
      </c>
      <c r="AZ40" s="66">
        <v>100.47114182642417</v>
      </c>
      <c r="BA40" s="66">
        <v>100.2810541060106</v>
      </c>
      <c r="BB40" s="66">
        <v>100.17148923946903</v>
      </c>
      <c r="BC40" s="66">
        <v>100.35051552858397</v>
      </c>
    </row>
    <row r="41" spans="3:55" ht="14.25" customHeight="1" x14ac:dyDescent="0.5">
      <c r="C41" s="63"/>
      <c r="E41" s="73">
        <v>45966</v>
      </c>
      <c r="F41" s="66">
        <v>100.19915122257788</v>
      </c>
      <c r="G41" s="66">
        <v>100.4106018372175</v>
      </c>
      <c r="H41" s="66">
        <v>100.3499648194028</v>
      </c>
      <c r="I41" s="66">
        <v>100.46736627854411</v>
      </c>
      <c r="J41" s="66">
        <v>100.36284423387563</v>
      </c>
      <c r="K41" s="66">
        <v>100.47408563898858</v>
      </c>
      <c r="L41" s="66">
        <v>100.29241226097723</v>
      </c>
      <c r="M41" s="66">
        <v>100.43926890662641</v>
      </c>
      <c r="N41" s="66">
        <v>100.37309123435942</v>
      </c>
      <c r="O41" s="66">
        <v>102.09268681954892</v>
      </c>
      <c r="P41" s="66">
        <v>100.51063269396644</v>
      </c>
      <c r="Q41" s="66">
        <v>100.09662710454405</v>
      </c>
      <c r="R41" s="66">
        <v>100.46126776310876</v>
      </c>
      <c r="S41" s="66">
        <v>100.50669348365271</v>
      </c>
      <c r="T41" s="66">
        <v>100.32465760651588</v>
      </c>
      <c r="U41" s="66">
        <v>100.60171615357594</v>
      </c>
      <c r="V41" s="66">
        <v>100.40700165853941</v>
      </c>
      <c r="W41" s="66">
        <v>100.51947154813737</v>
      </c>
      <c r="X41" s="66">
        <v>100.38772108914668</v>
      </c>
      <c r="Y41" s="66">
        <v>100.20518730043007</v>
      </c>
      <c r="Z41" s="66">
        <v>100.47269352766219</v>
      </c>
      <c r="AA41" s="66">
        <v>100.62858650944631</v>
      </c>
      <c r="AB41" s="66">
        <v>100.31230786998405</v>
      </c>
      <c r="AC41" s="66">
        <v>100.32221305172152</v>
      </c>
      <c r="AD41" s="66">
        <v>99.946413804496501</v>
      </c>
      <c r="AE41" s="66">
        <v>100.27447993815589</v>
      </c>
      <c r="AF41" s="66">
        <v>100.32579489794708</v>
      </c>
      <c r="AG41" s="66">
        <v>100.48125338222563</v>
      </c>
      <c r="AH41" s="66">
        <v>100.59711078388156</v>
      </c>
      <c r="AI41" s="66">
        <v>100.49743659161624</v>
      </c>
      <c r="AJ41" s="66">
        <v>99.474461487358539</v>
      </c>
      <c r="AK41" s="66">
        <v>100.70553588561282</v>
      </c>
      <c r="AL41" s="66">
        <v>99.952828215313787</v>
      </c>
      <c r="AM41" s="66">
        <v>100.62617754779947</v>
      </c>
      <c r="AN41" s="66">
        <v>100.36968809421263</v>
      </c>
      <c r="AO41" s="66">
        <v>100.26415427287486</v>
      </c>
      <c r="AP41" s="66">
        <v>100.11854236538819</v>
      </c>
      <c r="AQ41" s="66">
        <v>100.09506935938153</v>
      </c>
      <c r="AR41" s="66">
        <v>100.94348421731895</v>
      </c>
      <c r="AS41" s="66">
        <v>100.51375239090034</v>
      </c>
      <c r="AT41" s="66">
        <v>100.34594100166271</v>
      </c>
      <c r="AU41" s="66">
        <v>100.51829988098919</v>
      </c>
      <c r="AV41" s="66">
        <v>100.46273124723058</v>
      </c>
      <c r="AW41" s="66">
        <v>100.46060615428775</v>
      </c>
      <c r="AX41" s="66">
        <v>100.34001362311747</v>
      </c>
      <c r="AY41" s="66">
        <v>100.38370694773907</v>
      </c>
      <c r="AZ41" s="66">
        <v>100.4907537933087</v>
      </c>
      <c r="BA41" s="66">
        <v>100.29260648344361</v>
      </c>
      <c r="BB41" s="66">
        <v>100.190722165403</v>
      </c>
      <c r="BC41" s="66">
        <v>100.36673217189339</v>
      </c>
    </row>
    <row r="42" spans="3:55" ht="14.25" customHeight="1" x14ac:dyDescent="0.5">
      <c r="C42" s="63"/>
      <c r="E42" s="73">
        <v>45967</v>
      </c>
      <c r="F42" s="66">
        <v>100.2461279878637</v>
      </c>
      <c r="G42" s="66">
        <v>100.4281134461779</v>
      </c>
      <c r="H42" s="66">
        <v>100.32025020799729</v>
      </c>
      <c r="I42" s="66">
        <v>100.481110214251</v>
      </c>
      <c r="J42" s="66">
        <v>100.38397990262804</v>
      </c>
      <c r="K42" s="66">
        <v>100.42450388179752</v>
      </c>
      <c r="L42" s="66">
        <v>100.30461772466627</v>
      </c>
      <c r="M42" s="66">
        <v>100.49469619851314</v>
      </c>
      <c r="N42" s="66">
        <v>100.39938096891322</v>
      </c>
      <c r="O42" s="66">
        <v>102.10813209918444</v>
      </c>
      <c r="P42" s="66">
        <v>100.52697521619977</v>
      </c>
      <c r="Q42" s="66">
        <v>100.20424560723423</v>
      </c>
      <c r="R42" s="66">
        <v>100.50375219791849</v>
      </c>
      <c r="S42" s="66">
        <v>100.58326285167277</v>
      </c>
      <c r="T42" s="66">
        <v>100.38627037459048</v>
      </c>
      <c r="U42" s="66">
        <v>100.5763147325118</v>
      </c>
      <c r="V42" s="66">
        <v>100.49634471824675</v>
      </c>
      <c r="W42" s="66">
        <v>100.50746961895211</v>
      </c>
      <c r="X42" s="66">
        <v>100.45615775018912</v>
      </c>
      <c r="Y42" s="66">
        <v>100.26446073684107</v>
      </c>
      <c r="Z42" s="66">
        <v>100.44235913472225</v>
      </c>
      <c r="AA42" s="66">
        <v>100.65205309582032</v>
      </c>
      <c r="AB42" s="66">
        <v>100.34427372382252</v>
      </c>
      <c r="AC42" s="66">
        <v>100.34558871331399</v>
      </c>
      <c r="AD42" s="66">
        <v>100.02016227935532</v>
      </c>
      <c r="AE42" s="66">
        <v>100.27694215695038</v>
      </c>
      <c r="AF42" s="66">
        <v>100.36774368359025</v>
      </c>
      <c r="AG42" s="66">
        <v>100.51629605711925</v>
      </c>
      <c r="AH42" s="66">
        <v>100.64414832070794</v>
      </c>
      <c r="AI42" s="66">
        <v>100.52663173225135</v>
      </c>
      <c r="AJ42" s="66">
        <v>99.500766754563514</v>
      </c>
      <c r="AK42" s="66">
        <v>100.68944848455389</v>
      </c>
      <c r="AL42" s="66">
        <v>100.22680146481217</v>
      </c>
      <c r="AM42" s="66">
        <v>100.59490103625906</v>
      </c>
      <c r="AN42" s="66">
        <v>100.33238830116201</v>
      </c>
      <c r="AO42" s="66">
        <v>100.39001502120675</v>
      </c>
      <c r="AP42" s="66">
        <v>100.10341707438873</v>
      </c>
      <c r="AQ42" s="66">
        <v>100.19333785557193</v>
      </c>
      <c r="AR42" s="66">
        <v>101.01874105221488</v>
      </c>
      <c r="AS42" s="66">
        <v>100.63516915693515</v>
      </c>
      <c r="AT42" s="66">
        <v>100.44375495844066</v>
      </c>
      <c r="AU42" s="66">
        <v>100.42606650570512</v>
      </c>
      <c r="AV42" s="66">
        <v>100.40073670975669</v>
      </c>
      <c r="AW42" s="66">
        <v>100.38732625555002</v>
      </c>
      <c r="AX42" s="66">
        <v>100.32551500984437</v>
      </c>
      <c r="AY42" s="66">
        <v>100.38541032313235</v>
      </c>
      <c r="AZ42" s="66">
        <v>100.49858180611588</v>
      </c>
      <c r="BA42" s="66">
        <v>100.29883949839846</v>
      </c>
      <c r="BB42" s="66">
        <v>100.13579135023329</v>
      </c>
      <c r="BC42" s="66">
        <v>100.38295143581236</v>
      </c>
    </row>
    <row r="43" spans="3:55" ht="14.25" customHeight="1" x14ac:dyDescent="0.5">
      <c r="C43" s="63"/>
      <c r="E43" s="73">
        <v>45968</v>
      </c>
      <c r="F43" s="66">
        <v>100.2577565387103</v>
      </c>
      <c r="G43" s="66">
        <v>100.4585530982922</v>
      </c>
      <c r="H43" s="66">
        <v>100.18994714079207</v>
      </c>
      <c r="I43" s="66">
        <v>100.53966391136419</v>
      </c>
      <c r="J43" s="66">
        <v>100.41818342646241</v>
      </c>
      <c r="K43" s="66">
        <v>100.30637179511669</v>
      </c>
      <c r="L43" s="66">
        <v>100.31682423664299</v>
      </c>
      <c r="M43" s="66">
        <v>100.50374947695813</v>
      </c>
      <c r="N43" s="66">
        <v>100.38213390903123</v>
      </c>
      <c r="O43" s="66">
        <v>102.06567532452181</v>
      </c>
      <c r="P43" s="66">
        <v>100.52189678907241</v>
      </c>
      <c r="Q43" s="66">
        <v>100.19735082627672</v>
      </c>
      <c r="R43" s="66">
        <v>100.46554366753799</v>
      </c>
      <c r="S43" s="66">
        <v>100.62608652148975</v>
      </c>
      <c r="T43" s="66">
        <v>100.38719373305211</v>
      </c>
      <c r="U43" s="66">
        <v>100.57220673496082</v>
      </c>
      <c r="V43" s="66">
        <v>100.48242398062362</v>
      </c>
      <c r="W43" s="66">
        <v>100.54740187745583</v>
      </c>
      <c r="X43" s="66">
        <v>100.45315068994742</v>
      </c>
      <c r="Y43" s="66">
        <v>100.19981738217966</v>
      </c>
      <c r="Z43" s="66">
        <v>100.460961059634</v>
      </c>
      <c r="AA43" s="66">
        <v>100.67552515460227</v>
      </c>
      <c r="AB43" s="66">
        <v>100.34536839766454</v>
      </c>
      <c r="AC43" s="66">
        <v>100.33011883262986</v>
      </c>
      <c r="AD43" s="66">
        <v>100.02658591050412</v>
      </c>
      <c r="AE43" s="66">
        <v>100.29164227768749</v>
      </c>
      <c r="AF43" s="66">
        <v>100.38079149026912</v>
      </c>
      <c r="AG43" s="66">
        <v>100.46408573231341</v>
      </c>
      <c r="AH43" s="66">
        <v>100.66676616759271</v>
      </c>
      <c r="AI43" s="66">
        <v>100.56440585972661</v>
      </c>
      <c r="AJ43" s="66">
        <v>99.398152710682652</v>
      </c>
      <c r="AK43" s="66">
        <v>100.82656251067526</v>
      </c>
      <c r="AL43" s="66">
        <v>100.01856560592289</v>
      </c>
      <c r="AM43" s="66">
        <v>100.62057285500352</v>
      </c>
      <c r="AN43" s="66">
        <v>100.29502731047332</v>
      </c>
      <c r="AO43" s="66">
        <v>100.3846907145614</v>
      </c>
      <c r="AP43" s="66">
        <v>100.1317333042612</v>
      </c>
      <c r="AQ43" s="66">
        <v>99.11797413845332</v>
      </c>
      <c r="AR43" s="66">
        <v>100.95224253197718</v>
      </c>
      <c r="AS43" s="66">
        <v>100.72012453494303</v>
      </c>
      <c r="AT43" s="66">
        <v>100.45383097316595</v>
      </c>
      <c r="AU43" s="66">
        <v>100.4431389370111</v>
      </c>
      <c r="AV43" s="66">
        <v>100.41631890409404</v>
      </c>
      <c r="AW43" s="66">
        <v>100.40290636858488</v>
      </c>
      <c r="AX43" s="66">
        <v>100.33053128559487</v>
      </c>
      <c r="AY43" s="66">
        <v>100.40247584288728</v>
      </c>
      <c r="AZ43" s="66">
        <v>100.51819912928444</v>
      </c>
      <c r="BA43" s="66">
        <v>100.31039392470868</v>
      </c>
      <c r="BB43" s="66">
        <v>100.17683253254943</v>
      </c>
      <c r="BC43" s="66">
        <v>100.36010707062977</v>
      </c>
    </row>
    <row r="44" spans="3:55" ht="14.25" customHeight="1" x14ac:dyDescent="0.5">
      <c r="C44" s="63"/>
      <c r="E44" s="73">
        <v>45971</v>
      </c>
      <c r="F44" s="66">
        <v>100.25612442798011</v>
      </c>
      <c r="G44" s="66">
        <v>100.44158746770603</v>
      </c>
      <c r="H44" s="66">
        <v>100.21250991688818</v>
      </c>
      <c r="I44" s="66">
        <v>100.49063725029693</v>
      </c>
      <c r="J44" s="66">
        <v>100.40447457525863</v>
      </c>
      <c r="K44" s="66">
        <v>100.32500485680204</v>
      </c>
      <c r="L44" s="66">
        <v>100.24164425734646</v>
      </c>
      <c r="M44" s="66">
        <v>100.48324938324798</v>
      </c>
      <c r="N44" s="66">
        <v>100.37357929894127</v>
      </c>
      <c r="O44" s="66">
        <v>102.1167269032489</v>
      </c>
      <c r="P44" s="66">
        <v>100.51251526564559</v>
      </c>
      <c r="Q44" s="66">
        <v>100.21535732737291</v>
      </c>
      <c r="R44" s="66">
        <v>100.49266936432822</v>
      </c>
      <c r="S44" s="66">
        <v>100.5802445062394</v>
      </c>
      <c r="T44" s="66">
        <v>100.3837706136209</v>
      </c>
      <c r="U44" s="66">
        <v>100.52964815546144</v>
      </c>
      <c r="V44" s="66">
        <v>100.47261082423033</v>
      </c>
      <c r="W44" s="66">
        <v>100.52672647982081</v>
      </c>
      <c r="X44" s="66">
        <v>100.46275185075643</v>
      </c>
      <c r="Y44" s="66">
        <v>100.2463095360235</v>
      </c>
      <c r="Z44" s="66">
        <v>100.47956642962225</v>
      </c>
      <c r="AA44" s="66">
        <v>100.69900268706833</v>
      </c>
      <c r="AB44" s="66">
        <v>100.34204528472722</v>
      </c>
      <c r="AC44" s="66">
        <v>100.36213359403844</v>
      </c>
      <c r="AD44" s="66">
        <v>100.05097005526856</v>
      </c>
      <c r="AE44" s="66">
        <v>100.29000693002808</v>
      </c>
      <c r="AF44" s="66">
        <v>100.39384099316285</v>
      </c>
      <c r="AG44" s="66">
        <v>100.47835464079574</v>
      </c>
      <c r="AH44" s="66">
        <v>100.65270313548289</v>
      </c>
      <c r="AI44" s="66">
        <v>100.52927138533404</v>
      </c>
      <c r="AJ44" s="66">
        <v>99.355322342592601</v>
      </c>
      <c r="AK44" s="66">
        <v>100.7886109139984</v>
      </c>
      <c r="AL44" s="66">
        <v>100.21784895139041</v>
      </c>
      <c r="AM44" s="66">
        <v>100.64625122519611</v>
      </c>
      <c r="AN44" s="66">
        <v>100.32369146267884</v>
      </c>
      <c r="AO44" s="66">
        <v>100.31574755641942</v>
      </c>
      <c r="AP44" s="66">
        <v>100.03925932834703</v>
      </c>
      <c r="AQ44" s="66">
        <v>97.081206620940861</v>
      </c>
      <c r="AR44" s="66">
        <v>101.03184567532853</v>
      </c>
      <c r="AS44" s="66">
        <v>100.59421332247187</v>
      </c>
      <c r="AT44" s="66">
        <v>100.45073860470674</v>
      </c>
      <c r="AU44" s="66">
        <v>100.46021427063039</v>
      </c>
      <c r="AV44" s="66">
        <v>100.43190351678795</v>
      </c>
      <c r="AW44" s="66">
        <v>100.41848889965328</v>
      </c>
      <c r="AX44" s="66">
        <v>100.33554781215916</v>
      </c>
      <c r="AY44" s="66">
        <v>100.41954426378058</v>
      </c>
      <c r="AZ44" s="66">
        <v>100.53782028175448</v>
      </c>
      <c r="BA44" s="66">
        <v>100.3219496820888</v>
      </c>
      <c r="BB44" s="66">
        <v>100.14803911222268</v>
      </c>
      <c r="BC44" s="66">
        <v>100.34592310187784</v>
      </c>
    </row>
    <row r="45" spans="3:55" ht="14.25" customHeight="1" x14ac:dyDescent="0.5">
      <c r="C45" s="63"/>
      <c r="E45" s="73">
        <v>45972</v>
      </c>
      <c r="F45" s="66">
        <v>100.26775413841376</v>
      </c>
      <c r="G45" s="66">
        <v>100.45910448056038</v>
      </c>
      <c r="H45" s="66">
        <v>100.23507777412146</v>
      </c>
      <c r="I45" s="66">
        <v>100.50438436947276</v>
      </c>
      <c r="J45" s="66">
        <v>100.42126220340761</v>
      </c>
      <c r="K45" s="66">
        <v>100.34791908791132</v>
      </c>
      <c r="L45" s="66">
        <v>100.25820417697778</v>
      </c>
      <c r="M45" s="66">
        <v>100.50495376511476</v>
      </c>
      <c r="N45" s="66">
        <v>100.39116475003443</v>
      </c>
      <c r="O45" s="66">
        <v>102.14552382023561</v>
      </c>
      <c r="P45" s="66">
        <v>100.53314043377809</v>
      </c>
      <c r="Q45" s="66">
        <v>100.22838532382546</v>
      </c>
      <c r="R45" s="66">
        <v>100.51980238505659</v>
      </c>
      <c r="S45" s="66">
        <v>100.60196983905274</v>
      </c>
      <c r="T45" s="66">
        <v>100.40204045987257</v>
      </c>
      <c r="U45" s="66">
        <v>100.55112128830744</v>
      </c>
      <c r="V45" s="66">
        <v>100.49588028089723</v>
      </c>
      <c r="W45" s="66">
        <v>100.54502234404012</v>
      </c>
      <c r="X45" s="66">
        <v>100.48497421146581</v>
      </c>
      <c r="Y45" s="66">
        <v>100.267160768407</v>
      </c>
      <c r="Z45" s="66">
        <v>100.49817524532502</v>
      </c>
      <c r="AA45" s="66">
        <v>100.72248569449496</v>
      </c>
      <c r="AB45" s="66">
        <v>100.35637412879389</v>
      </c>
      <c r="AC45" s="66">
        <v>100.3812023994213</v>
      </c>
      <c r="AD45" s="66">
        <v>100.06637790465707</v>
      </c>
      <c r="AE45" s="66">
        <v>100.31287305160812</v>
      </c>
      <c r="AF45" s="66">
        <v>100.40689219249197</v>
      </c>
      <c r="AG45" s="66">
        <v>100.50094217491899</v>
      </c>
      <c r="AH45" s="66">
        <v>100.67939623235443</v>
      </c>
      <c r="AI45" s="66">
        <v>100.5498999918223</v>
      </c>
      <c r="AJ45" s="66">
        <v>99.372411458035529</v>
      </c>
      <c r="AK45" s="66">
        <v>100.81634793972192</v>
      </c>
      <c r="AL45" s="66">
        <v>100.24570951339889</v>
      </c>
      <c r="AM45" s="66">
        <v>100.67193614850878</v>
      </c>
      <c r="AN45" s="66">
        <v>100.34355555358844</v>
      </c>
      <c r="AO45" s="66">
        <v>100.33581070593071</v>
      </c>
      <c r="AP45" s="66">
        <v>100.04826286168657</v>
      </c>
      <c r="AQ45" s="66">
        <v>97.105476922596111</v>
      </c>
      <c r="AR45" s="66">
        <v>101.05560836543137</v>
      </c>
      <c r="AS45" s="66">
        <v>100.62246017757283</v>
      </c>
      <c r="AT45" s="66">
        <v>100.46520351106581</v>
      </c>
      <c r="AU45" s="66">
        <v>100.47729250705639</v>
      </c>
      <c r="AV45" s="66">
        <v>100.44749054821376</v>
      </c>
      <c r="AW45" s="66">
        <v>100.43407384913051</v>
      </c>
      <c r="AX45" s="66">
        <v>100.34056458954979</v>
      </c>
      <c r="AY45" s="66">
        <v>100.43661558630542</v>
      </c>
      <c r="AZ45" s="66">
        <v>100.55744526427348</v>
      </c>
      <c r="BA45" s="66">
        <v>100.33350677069217</v>
      </c>
      <c r="BB45" s="66">
        <v>100.16726753573222</v>
      </c>
      <c r="BC45" s="66">
        <v>100.36213900305111</v>
      </c>
    </row>
    <row r="46" spans="3:55" ht="14.25" customHeight="1" x14ac:dyDescent="0.5">
      <c r="C46" s="63"/>
      <c r="E46" s="73">
        <v>45973</v>
      </c>
      <c r="F46" s="66">
        <v>100.30590782525023</v>
      </c>
      <c r="G46" s="66">
        <v>100.51111033990784</v>
      </c>
      <c r="H46" s="66">
        <v>100.24453155903277</v>
      </c>
      <c r="I46" s="66">
        <v>100.60328371108399</v>
      </c>
      <c r="J46" s="66">
        <v>100.44241104549111</v>
      </c>
      <c r="K46" s="66">
        <v>100.52460718330371</v>
      </c>
      <c r="L46" s="66">
        <v>100.38391008101237</v>
      </c>
      <c r="M46" s="66">
        <v>100.6026104079704</v>
      </c>
      <c r="N46" s="66">
        <v>100.38695470713189</v>
      </c>
      <c r="O46" s="66">
        <v>102.30337011279744</v>
      </c>
      <c r="P46" s="66">
        <v>100.57092205918049</v>
      </c>
      <c r="Q46" s="66">
        <v>100.35088351730003</v>
      </c>
      <c r="R46" s="66">
        <v>100.57771020403241</v>
      </c>
      <c r="S46" s="66">
        <v>100.69126091848713</v>
      </c>
      <c r="T46" s="66">
        <v>100.51136771841952</v>
      </c>
      <c r="U46" s="66">
        <v>100.73887532175353</v>
      </c>
      <c r="V46" s="66">
        <v>100.68435141127395</v>
      </c>
      <c r="W46" s="66">
        <v>100.63691010794713</v>
      </c>
      <c r="X46" s="66">
        <v>100.62487509091714</v>
      </c>
      <c r="Y46" s="66">
        <v>100.38626976812907</v>
      </c>
      <c r="Z46" s="66">
        <v>100.55930363033339</v>
      </c>
      <c r="AA46" s="66">
        <v>100.74597417815892</v>
      </c>
      <c r="AB46" s="66">
        <v>100.41041729466714</v>
      </c>
      <c r="AC46" s="66">
        <v>100.50380545786611</v>
      </c>
      <c r="AD46" s="66">
        <v>100.17152236428693</v>
      </c>
      <c r="AE46" s="66">
        <v>100.38882553611394</v>
      </c>
      <c r="AF46" s="66">
        <v>100.38688089438108</v>
      </c>
      <c r="AG46" s="66">
        <v>100.70617587138479</v>
      </c>
      <c r="AH46" s="66">
        <v>100.77537426473619</v>
      </c>
      <c r="AI46" s="66">
        <v>100.61772090347395</v>
      </c>
      <c r="AJ46" s="66">
        <v>99.107265006272968</v>
      </c>
      <c r="AK46" s="66">
        <v>100.89227666832247</v>
      </c>
      <c r="AL46" s="66">
        <v>100.67375367397925</v>
      </c>
      <c r="AM46" s="66">
        <v>100.76835304661202</v>
      </c>
      <c r="AN46" s="66">
        <v>100.4821845510868</v>
      </c>
      <c r="AO46" s="66">
        <v>100.47024321206985</v>
      </c>
      <c r="AP46" s="66">
        <v>100.1779561571261</v>
      </c>
      <c r="AQ46" s="66">
        <v>94.333679437221434</v>
      </c>
      <c r="AR46" s="66">
        <v>101.22528353207549</v>
      </c>
      <c r="AS46" s="66">
        <v>100.76427361928187</v>
      </c>
      <c r="AT46" s="66">
        <v>100.49284094375001</v>
      </c>
      <c r="AU46" s="66">
        <v>100.54990673650295</v>
      </c>
      <c r="AV46" s="66">
        <v>100.51686795540931</v>
      </c>
      <c r="AW46" s="66">
        <v>100.50964246736268</v>
      </c>
      <c r="AX46" s="66">
        <v>100.38260400938766</v>
      </c>
      <c r="AY46" s="66">
        <v>100.46905976242361</v>
      </c>
      <c r="AZ46" s="66">
        <v>100.57538873099581</v>
      </c>
      <c r="BA46" s="66">
        <v>100.35571026681524</v>
      </c>
      <c r="BB46" s="66">
        <v>100.2912083765487</v>
      </c>
      <c r="BC46" s="66">
        <v>100.38270207723801</v>
      </c>
    </row>
    <row r="47" spans="3:55" ht="14.25" customHeight="1" x14ac:dyDescent="0.5">
      <c r="C47" s="63"/>
      <c r="E47" s="73">
        <v>45974</v>
      </c>
      <c r="F47" s="66">
        <v>100.29543383321648</v>
      </c>
      <c r="G47" s="66">
        <v>100.48550565922855</v>
      </c>
      <c r="H47" s="66">
        <v>100.24085397534913</v>
      </c>
      <c r="I47" s="66">
        <v>100.55874611743418</v>
      </c>
      <c r="J47" s="66">
        <v>100.45048593106699</v>
      </c>
      <c r="K47" s="66">
        <v>100.39352762403384</v>
      </c>
      <c r="L47" s="66">
        <v>100.36555366680982</v>
      </c>
      <c r="M47" s="66">
        <v>100.55677255747787</v>
      </c>
      <c r="N47" s="66">
        <v>100.3958203848356</v>
      </c>
      <c r="O47" s="66">
        <v>102.35891223779011</v>
      </c>
      <c r="P47" s="66">
        <v>100.61728458654206</v>
      </c>
      <c r="Q47" s="66">
        <v>100.219395497029</v>
      </c>
      <c r="R47" s="66">
        <v>100.52786247339171</v>
      </c>
      <c r="S47" s="66">
        <v>100.62423618142523</v>
      </c>
      <c r="T47" s="66">
        <v>100.43850755184006</v>
      </c>
      <c r="U47" s="66">
        <v>100.58952654417403</v>
      </c>
      <c r="V47" s="66">
        <v>100.51313572876496</v>
      </c>
      <c r="W47" s="66">
        <v>100.62924402458243</v>
      </c>
      <c r="X47" s="66">
        <v>100.50822000228968</v>
      </c>
      <c r="Y47" s="66">
        <v>100.2402174142794</v>
      </c>
      <c r="Z47" s="66">
        <v>100.56289185334043</v>
      </c>
      <c r="AA47" s="66">
        <v>100.76946813933726</v>
      </c>
      <c r="AB47" s="66">
        <v>100.39385507279185</v>
      </c>
      <c r="AC47" s="66">
        <v>100.35000236848757</v>
      </c>
      <c r="AD47" s="66">
        <v>100.0656363981352</v>
      </c>
      <c r="AE47" s="66">
        <v>100.32587059279287</v>
      </c>
      <c r="AF47" s="66">
        <v>100.36271139792942</v>
      </c>
      <c r="AG47" s="66">
        <v>100.55413601818852</v>
      </c>
      <c r="AH47" s="66">
        <v>100.68374112556434</v>
      </c>
      <c r="AI47" s="66">
        <v>100.59973699192417</v>
      </c>
      <c r="AJ47" s="66">
        <v>98.588582919935362</v>
      </c>
      <c r="AK47" s="66">
        <v>101.003207146829</v>
      </c>
      <c r="AL47" s="66">
        <v>100.76037464829641</v>
      </c>
      <c r="AM47" s="66">
        <v>100.72248873993988</v>
      </c>
      <c r="AN47" s="66">
        <v>100.37874411515891</v>
      </c>
      <c r="AO47" s="66">
        <v>100.35457852104351</v>
      </c>
      <c r="AP47" s="66">
        <v>100.05644462304637</v>
      </c>
      <c r="AQ47" s="66">
        <v>93.522843047151952</v>
      </c>
      <c r="AR47" s="66">
        <v>101.46314210788763</v>
      </c>
      <c r="AS47" s="66">
        <v>100.72762230238996</v>
      </c>
      <c r="AT47" s="66">
        <v>100.48535292556873</v>
      </c>
      <c r="AU47" s="66">
        <v>100.50280465800114</v>
      </c>
      <c r="AV47" s="66">
        <v>100.44772981781114</v>
      </c>
      <c r="AW47" s="66">
        <v>100.45995346370604</v>
      </c>
      <c r="AX47" s="66">
        <v>100.34107042599869</v>
      </c>
      <c r="AY47" s="66">
        <v>100.43572370579376</v>
      </c>
      <c r="AZ47" s="66">
        <v>100.55074952245228</v>
      </c>
      <c r="BA47" s="66">
        <v>100.33576505429821</v>
      </c>
      <c r="BB47" s="66">
        <v>100.15749065849725</v>
      </c>
      <c r="BC47" s="66">
        <v>100.42498748599643</v>
      </c>
    </row>
    <row r="48" spans="3:55" ht="14.25" customHeight="1" x14ac:dyDescent="0.5">
      <c r="C48" s="63"/>
      <c r="E48" s="73">
        <v>45975</v>
      </c>
      <c r="F48" s="66">
        <v>100.29379841464221</v>
      </c>
      <c r="G48" s="66">
        <v>100.47281897637089</v>
      </c>
      <c r="H48" s="66">
        <v>100.16703635922057</v>
      </c>
      <c r="I48" s="66">
        <v>100.59044139520924</v>
      </c>
      <c r="J48" s="66">
        <v>100.46292070538273</v>
      </c>
      <c r="K48" s="66">
        <v>100.38219732909307</v>
      </c>
      <c r="L48" s="66">
        <v>100.35591558563203</v>
      </c>
      <c r="M48" s="66">
        <v>100.53622895230791</v>
      </c>
      <c r="N48" s="66">
        <v>100.40904763453935</v>
      </c>
      <c r="O48" s="66">
        <v>102.28085277950639</v>
      </c>
      <c r="P48" s="66">
        <v>100.63364276700376</v>
      </c>
      <c r="Q48" s="66">
        <v>100.18253893510996</v>
      </c>
      <c r="R48" s="66">
        <v>100.54730097366151</v>
      </c>
      <c r="S48" s="66">
        <v>100.62482183608313</v>
      </c>
      <c r="T48" s="66">
        <v>100.42638265624983</v>
      </c>
      <c r="U48" s="66">
        <v>100.4997554391158</v>
      </c>
      <c r="V48" s="66">
        <v>100.42445895460384</v>
      </c>
      <c r="W48" s="66">
        <v>100.59988835739281</v>
      </c>
      <c r="X48" s="66">
        <v>100.43348480423819</v>
      </c>
      <c r="Y48" s="66">
        <v>100.20964953105832</v>
      </c>
      <c r="Z48" s="66">
        <v>100.58151610091167</v>
      </c>
      <c r="AA48" s="66">
        <v>100.79296757930736</v>
      </c>
      <c r="AB48" s="66">
        <v>100.39935994048885</v>
      </c>
      <c r="AC48" s="66">
        <v>100.32147432708507</v>
      </c>
      <c r="AD48" s="66">
        <v>100.04057657891116</v>
      </c>
      <c r="AE48" s="66">
        <v>100.28736290603787</v>
      </c>
      <c r="AF48" s="66">
        <v>100.37575855041115</v>
      </c>
      <c r="AG48" s="66">
        <v>100.50594556851399</v>
      </c>
      <c r="AH48" s="66">
        <v>101.11686226949853</v>
      </c>
      <c r="AI48" s="66">
        <v>100.56452982776864</v>
      </c>
      <c r="AJ48" s="66">
        <v>98.638169338854013</v>
      </c>
      <c r="AK48" s="66">
        <v>100.90825441912264</v>
      </c>
      <c r="AL48" s="66">
        <v>100.62280146919494</v>
      </c>
      <c r="AM48" s="66">
        <v>100.74819311906631</v>
      </c>
      <c r="AN48" s="66">
        <v>100.36776238416925</v>
      </c>
      <c r="AO48" s="66">
        <v>100.29393540675639</v>
      </c>
      <c r="AP48" s="66">
        <v>100.02190623162308</v>
      </c>
      <c r="AQ48" s="66">
        <v>94.62165117422407</v>
      </c>
      <c r="AR48" s="66">
        <v>101.31114965741794</v>
      </c>
      <c r="AS48" s="66">
        <v>100.71934543771486</v>
      </c>
      <c r="AT48" s="66">
        <v>100.44268194649096</v>
      </c>
      <c r="AU48" s="66">
        <v>100.519890134793</v>
      </c>
      <c r="AV48" s="66">
        <v>100.46331930547886</v>
      </c>
      <c r="AW48" s="66">
        <v>100.47554484848361</v>
      </c>
      <c r="AX48" s="66">
        <v>100.34608747952001</v>
      </c>
      <c r="AY48" s="66">
        <v>100.45279777882375</v>
      </c>
      <c r="AZ48" s="66">
        <v>100.57037702875907</v>
      </c>
      <c r="BA48" s="66">
        <v>100.34732373443246</v>
      </c>
      <c r="BB48" s="66">
        <v>100.09794421562317</v>
      </c>
      <c r="BC48" s="66">
        <v>100.39340092053301</v>
      </c>
    </row>
    <row r="49" spans="1:55" ht="14.25" customHeight="1" x14ac:dyDescent="0.5">
      <c r="C49" s="63"/>
      <c r="E49" s="73">
        <v>45978</v>
      </c>
      <c r="F49" s="66">
        <v>100.2965839338829</v>
      </c>
      <c r="G49" s="66">
        <v>100.49897429602706</v>
      </c>
      <c r="H49" s="66">
        <v>100.17644277164963</v>
      </c>
      <c r="I49" s="66">
        <v>100.54585558705959</v>
      </c>
      <c r="J49" s="66">
        <v>100.48407919244907</v>
      </c>
      <c r="K49" s="66">
        <v>100.3107807383775</v>
      </c>
      <c r="L49" s="66">
        <v>100.38123478607766</v>
      </c>
      <c r="M49" s="66">
        <v>100.57485177873389</v>
      </c>
      <c r="N49" s="66">
        <v>100.41354866207597</v>
      </c>
      <c r="O49" s="66">
        <v>102.37650304622508</v>
      </c>
      <c r="P49" s="66">
        <v>100.5727182219766</v>
      </c>
      <c r="Q49" s="66">
        <v>100.095657400052</v>
      </c>
      <c r="R49" s="66">
        <v>100.5551790133628</v>
      </c>
      <c r="S49" s="66">
        <v>100.63809420948924</v>
      </c>
      <c r="T49" s="66">
        <v>100.43162475378873</v>
      </c>
      <c r="U49" s="66">
        <v>100.55545472919701</v>
      </c>
      <c r="V49" s="66">
        <v>100.42697150978793</v>
      </c>
      <c r="W49" s="66">
        <v>100.63986592832973</v>
      </c>
      <c r="X49" s="66">
        <v>100.45570069107688</v>
      </c>
      <c r="Y49" s="66">
        <v>100.18761157214855</v>
      </c>
      <c r="Z49" s="66">
        <v>100.60315194815412</v>
      </c>
      <c r="AA49" s="66">
        <v>100.81647249934686</v>
      </c>
      <c r="AB49" s="66">
        <v>100.39602788242827</v>
      </c>
      <c r="AC49" s="66">
        <v>100.31889048514813</v>
      </c>
      <c r="AD49" s="66">
        <v>99.988465999237988</v>
      </c>
      <c r="AE49" s="66">
        <v>100.26517724473642</v>
      </c>
      <c r="AF49" s="66">
        <v>100.39845895652064</v>
      </c>
      <c r="AG49" s="66">
        <v>100.54519929671473</v>
      </c>
      <c r="AH49" s="66">
        <v>100.76830373608922</v>
      </c>
      <c r="AI49" s="66">
        <v>100.61094254612219</v>
      </c>
      <c r="AJ49" s="66">
        <v>98.6551351039803</v>
      </c>
      <c r="AK49" s="66">
        <v>100.96671491138672</v>
      </c>
      <c r="AL49" s="66">
        <v>100.61334884049629</v>
      </c>
      <c r="AM49" s="66">
        <v>100.66751850970864</v>
      </c>
      <c r="AN49" s="66">
        <v>100.32586291473278</v>
      </c>
      <c r="AO49" s="66">
        <v>100.33523638041605</v>
      </c>
      <c r="AP49" s="66">
        <v>100.15653821406464</v>
      </c>
      <c r="AQ49" s="66">
        <v>94.480284836968124</v>
      </c>
      <c r="AR49" s="66">
        <v>101.33926914756462</v>
      </c>
      <c r="AS49" s="66">
        <v>100.75169095873314</v>
      </c>
      <c r="AT49" s="66">
        <v>100.49230322231304</v>
      </c>
      <c r="AU49" s="66">
        <v>100.59082414896562</v>
      </c>
      <c r="AV49" s="66">
        <v>100.56360442522384</v>
      </c>
      <c r="AW49" s="66">
        <v>100.55815536570617</v>
      </c>
      <c r="AX49" s="66">
        <v>100.41164160776766</v>
      </c>
      <c r="AY49" s="66">
        <v>100.5036286828587</v>
      </c>
      <c r="AZ49" s="66">
        <v>100.61615376952217</v>
      </c>
      <c r="BA49" s="66">
        <v>100.39038730355512</v>
      </c>
      <c r="BB49" s="66">
        <v>100.17403776386087</v>
      </c>
      <c r="BC49" s="66">
        <v>100.44004886860807</v>
      </c>
    </row>
    <row r="50" spans="1:55" x14ac:dyDescent="0.5">
      <c r="A50" s="67"/>
      <c r="B50" s="67"/>
      <c r="C50" s="67"/>
      <c r="D50" s="67"/>
      <c r="E50" s="67"/>
    </row>
  </sheetData>
  <mergeCells count="1">
    <mergeCell ref="E12:AB13"/>
  </mergeCells>
  <pageMargins left="0.7" right="0.7" top="0.78740157499999996" bottom="0.78740157499999996" header="0.3" footer="0.3"/>
  <pageSetup paperSize="9" orientation="portrait" horizontalDpi="4294967293"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2A760-C284-4FEC-AB9C-6C84ED822AAB}">
  <dimension ref="A1:AZ164"/>
  <sheetViews>
    <sheetView topLeftCell="A43" zoomScale="85" zoomScaleNormal="85" workbookViewId="0">
      <selection activeCell="D50" sqref="D50"/>
    </sheetView>
  </sheetViews>
  <sheetFormatPr baseColWidth="10" defaultRowHeight="14.25" x14ac:dyDescent="0.45"/>
  <cols>
    <col min="1" max="1" width="39.1328125" bestFit="1" customWidth="1"/>
    <col min="14" max="14" width="39.265625" bestFit="1" customWidth="1"/>
    <col min="26" max="26" width="39.265625" bestFit="1" customWidth="1"/>
    <col min="51" max="51" width="20.53125" bestFit="1" customWidth="1"/>
    <col min="52" max="52" width="44.06640625" bestFit="1" customWidth="1"/>
  </cols>
  <sheetData>
    <row r="1" spans="1:16" x14ac:dyDescent="0.45">
      <c r="A1" s="82" t="str">
        <f>Daten!G16</f>
        <v>AUSTRALIA AND NEW ZEALAND BANKING MTN</v>
      </c>
      <c r="B1" s="82" t="str">
        <f>Daten!I16</f>
        <v>BAIDU INC</v>
      </c>
      <c r="C1" s="82" t="str">
        <f>Daten!L16</f>
        <v>CITIGROUP INC</v>
      </c>
      <c r="D1" s="82" t="str">
        <f>Daten!R16</f>
        <v>GENERAL ELECTRIC CO MTN</v>
      </c>
      <c r="E1" s="82" t="str">
        <f>Daten!AC16</f>
        <v>LOCKHEED MARTIN CORPORATION</v>
      </c>
      <c r="F1" s="82" t="str">
        <f>Daten!AE16</f>
        <v>METLIFE INC</v>
      </c>
      <c r="G1" s="82" t="str">
        <f>Daten!AJ16</f>
        <v>ORACLE CORPORATION</v>
      </c>
      <c r="H1" s="82" t="str">
        <f>Daten!AO16</f>
        <v>ROYAL BANK OF CANADA MTN</v>
      </c>
      <c r="I1" s="82" t="str">
        <f>Daten!AU16</f>
        <v>TREASURY NOTE</v>
      </c>
      <c r="J1" s="82" t="str">
        <f>Daten!AV16</f>
        <v>TREASURY NOTE</v>
      </c>
      <c r="K1" s="82" t="s">
        <v>312</v>
      </c>
      <c r="M1" s="82"/>
      <c r="N1" s="82" t="s">
        <v>330</v>
      </c>
      <c r="O1" s="82" t="s">
        <v>270</v>
      </c>
      <c r="P1" s="82" t="s">
        <v>331</v>
      </c>
    </row>
    <row r="2" spans="1:16" x14ac:dyDescent="0.45">
      <c r="A2" s="82">
        <f>Daten!G18/Daten!G17-1</f>
        <v>1.7439999999990796E-4</v>
      </c>
      <c r="B2" s="82">
        <f>Daten!I18/Daten!I17-1</f>
        <v>6.7357355508002037E-4</v>
      </c>
      <c r="C2" s="82">
        <f>Daten!L18/Daten!L17-1</f>
        <v>6.422799202421281E-4</v>
      </c>
      <c r="D2" s="82">
        <f>Daten!R18/Daten!R17-1</f>
        <v>8.4061430085435873E-4</v>
      </c>
      <c r="E2" s="82">
        <f>Daten!AC18/Daten!AC17-1</f>
        <v>8.3266940436299564E-4</v>
      </c>
      <c r="F2" s="82">
        <f>Daten!AE18/Daten!AE17-1</f>
        <v>9.5505566406339781E-4</v>
      </c>
      <c r="G2" s="82">
        <f>Daten!AJ18/Daten!AJ17-1</f>
        <v>8.500555349304495E-4</v>
      </c>
      <c r="H2" s="82">
        <f>Daten!AO18/Daten!AO17-1</f>
        <v>8.7234766311561351E-4</v>
      </c>
      <c r="I2" s="82">
        <f>Daten!AU18/Daten!AU17-1</f>
        <v>1.7000000000000348E-4</v>
      </c>
      <c r="J2" s="82">
        <f>Daten!AV18/Daten!AV17-1</f>
        <v>1.5520000000002199E-4</v>
      </c>
      <c r="K2" s="82">
        <f>AVERAGE(A2:J2)</f>
        <v>6.1661960426488975E-4</v>
      </c>
      <c r="M2" s="96">
        <f>Daten!E18</f>
        <v>45932</v>
      </c>
      <c r="N2" s="93">
        <f>K2</f>
        <v>6.1661960426488975E-4</v>
      </c>
      <c r="O2" s="93">
        <f>AY76</f>
        <v>7.8055603306231955E-4</v>
      </c>
      <c r="P2" s="97">
        <f>N2-O2</f>
        <v>-1.639364287974298E-4</v>
      </c>
    </row>
    <row r="3" spans="1:16" x14ac:dyDescent="0.45">
      <c r="A3" s="82">
        <f>Daten!G19/Daten!G18-1</f>
        <v>-1.6891581384959053E-4</v>
      </c>
      <c r="B3" s="82">
        <f>Daten!I19/Daten!I18-1</f>
        <v>-3.1046521141953054E-4</v>
      </c>
      <c r="C3" s="82">
        <f>Daten!L19/Daten!L18-1</f>
        <v>-3.5527682079306011E-4</v>
      </c>
      <c r="D3" s="82">
        <f>Daten!R19/Daten!R18-1</f>
        <v>-7.9575386465979836E-4</v>
      </c>
      <c r="E3" s="82">
        <f>Daten!AC19/Daten!AC18-1</f>
        <v>-5.8131748683531992E-4</v>
      </c>
      <c r="F3" s="82">
        <f>Daten!AE19/Daten!AE18-1</f>
        <v>-9.0350203516698091E-4</v>
      </c>
      <c r="G3" s="82">
        <f>Daten!AJ19/Daten!AJ18-1</f>
        <v>-1.5478011544979298E-3</v>
      </c>
      <c r="H3" s="82">
        <f>Daten!AO19/Daten!AO18-1</f>
        <v>-6.8266995009880205E-4</v>
      </c>
      <c r="I3" s="82">
        <f>Daten!AU19/Daten!AU18-1</f>
        <v>5.0857104181645241E-4</v>
      </c>
      <c r="J3" s="82">
        <f>Daten!AV19/Daten!AV18-1</f>
        <v>4.9774164950577848E-4</v>
      </c>
      <c r="K3" s="82">
        <f t="shared" ref="K3:K33" si="0">AVERAGE(A3:J3)</f>
        <v>-4.3393896459987814E-4</v>
      </c>
      <c r="M3" s="96">
        <f>Daten!E19</f>
        <v>45933</v>
      </c>
      <c r="N3" s="93" cm="1">
        <f t="array" ref="N3">PRODUCT(1+$K$2:K3)-1</f>
        <v>1.824130643923727E-4</v>
      </c>
      <c r="O3" s="93" cm="1">
        <f t="array" ref="O3">PRODUCT(1+$AY$76:AY77)-1</f>
        <v>9.1685260106477706E-4</v>
      </c>
      <c r="P3" s="97">
        <f t="shared" ref="P3:P33" si="1">N3-O3</f>
        <v>-7.3443953667240436E-4</v>
      </c>
    </row>
    <row r="4" spans="1:16" x14ac:dyDescent="0.45">
      <c r="A4" s="82">
        <f>Daten!G20/Daten!G19-1</f>
        <v>-4.0310283655031753E-5</v>
      </c>
      <c r="B4" s="82">
        <f>Daten!I20/Daten!I19-1</f>
        <v>-3.5572433764108347E-4</v>
      </c>
      <c r="C4" s="82">
        <f>Daten!L20/Daten!L19-1</f>
        <v>-1.3869978481251266E-4</v>
      </c>
      <c r="D4" s="82">
        <f>Daten!R20/Daten!R19-1</f>
        <v>-1.257056713619642E-3</v>
      </c>
      <c r="E4" s="82">
        <f>Daten!AC20/Daten!AC19-1</f>
        <v>-1.0125566913545825E-3</v>
      </c>
      <c r="F4" s="82">
        <f>Daten!AE20/Daten!AE19-1</f>
        <v>-8.2532668513923824E-4</v>
      </c>
      <c r="G4" s="82">
        <f>Daten!AJ20/Daten!AJ19-1</f>
        <v>-1.0086423550440538E-3</v>
      </c>
      <c r="H4" s="82">
        <f>Daten!AO20/Daten!AO19-1</f>
        <v>-8.9532083760279768E-4</v>
      </c>
      <c r="I4" s="82">
        <f>Daten!AU20/Daten!AU19-1</f>
        <v>-2.0117630442901824E-3</v>
      </c>
      <c r="J4" s="82">
        <f>Daten!AV20/Daten!AV19-1</f>
        <v>-1.8203191713873634E-3</v>
      </c>
      <c r="K4" s="82">
        <f t="shared" si="0"/>
        <v>-9.3657199045464883E-4</v>
      </c>
      <c r="M4" s="96">
        <f>Daten!E20</f>
        <v>45936</v>
      </c>
      <c r="N4" s="93" cm="1">
        <f t="array" ref="N4">PRODUCT(1+$K$2:K4)-1</f>
        <v>-7.5432976902900517E-4</v>
      </c>
      <c r="O4" s="93" cm="1">
        <f t="array" ref="O4">PRODUCT(1+$AY$76:AY78)-1</f>
        <v>4.3858608341507122E-4</v>
      </c>
      <c r="P4" s="97">
        <f t="shared" si="1"/>
        <v>-1.1929158524440764E-3</v>
      </c>
    </row>
    <row r="5" spans="1:16" x14ac:dyDescent="0.45">
      <c r="A5" s="82">
        <f>Daten!G21/Daten!G20-1</f>
        <v>8.1821266210990728E-4</v>
      </c>
      <c r="B5" s="82">
        <f>Daten!I21/Daten!I20-1</f>
        <v>4.950549033042595E-4</v>
      </c>
      <c r="C5" s="82">
        <f>Daten!L21/Daten!L20-1</f>
        <v>4.6909978481246561E-4</v>
      </c>
      <c r="D5" s="82">
        <f>Daten!R21/Daten!R20-1</f>
        <v>1.1487135686334415E-3</v>
      </c>
      <c r="E5" s="82">
        <f>Daten!AC21/Daten!AC20-1</f>
        <v>9.6345431289956984E-4</v>
      </c>
      <c r="F5" s="82">
        <f>Daten!AE21/Daten!AE20-1</f>
        <v>8.3600021396490476E-4</v>
      </c>
      <c r="G5" s="82">
        <f>Daten!AJ21/Daten!AJ20-1</f>
        <v>-6.016974739335712E-4</v>
      </c>
      <c r="H5" s="82">
        <f>Daten!AO21/Daten!AO20-1</f>
        <v>8.3225296055755571E-4</v>
      </c>
      <c r="I5" s="82">
        <f>Daten!AU21/Daten!AU20-1</f>
        <v>1.7001004056158564E-3</v>
      </c>
      <c r="J5" s="82">
        <f>Daten!AV21/Daten!AV20-1</f>
        <v>1.5992248695009259E-3</v>
      </c>
      <c r="K5" s="82">
        <f t="shared" si="0"/>
        <v>8.2604162074653156E-4</v>
      </c>
      <c r="M5" s="96">
        <f>Daten!E21</f>
        <v>45937</v>
      </c>
      <c r="N5" s="93" cm="1">
        <f t="array" ref="N5">PRODUCT(1+$K$2:K5)-1</f>
        <v>7.1088743932579135E-5</v>
      </c>
      <c r="O5" s="93" cm="1">
        <f t="array" ref="O5">PRODUCT(1+$AY$76:AY79)-1</f>
        <v>8.3432853991460831E-4</v>
      </c>
      <c r="P5" s="97">
        <f t="shared" si="1"/>
        <v>-7.6323979598202918E-4</v>
      </c>
    </row>
    <row r="6" spans="1:16" x14ac:dyDescent="0.45">
      <c r="A6" s="82">
        <f>Daten!G22/Daten!G21-1</f>
        <v>-4.0098192686022216E-5</v>
      </c>
      <c r="B6" s="82">
        <f>Daten!I22/Daten!I21-1</f>
        <v>4.7263976200140334E-5</v>
      </c>
      <c r="C6" s="82">
        <f>Daten!L22/Daten!L21-1</f>
        <v>-8.4309795854720093E-6</v>
      </c>
      <c r="D6" s="82">
        <f>Daten!R22/Daten!R21-1</f>
        <v>1.5548596323822217E-4</v>
      </c>
      <c r="E6" s="82">
        <f>Daten!AC22/Daten!AC21-1</f>
        <v>2.3292932162854996E-4</v>
      </c>
      <c r="F6" s="82">
        <f>Daten!AE22/Daten!AE21-1</f>
        <v>1.0646803281444406E-4</v>
      </c>
      <c r="G6" s="82">
        <f>Daten!AJ22/Daten!AJ21-1</f>
        <v>8.0886083395181885E-5</v>
      </c>
      <c r="H6" s="82">
        <f>Daten!AO22/Daten!AO21-1</f>
        <v>-5.2790741656094653E-5</v>
      </c>
      <c r="I6" s="82">
        <f>Daten!AU22/Daten!AU21-1</f>
        <v>-4.3537833334517106E-4</v>
      </c>
      <c r="J6" s="82">
        <f>Daten!AV22/Daten!AV21-1</f>
        <v>-5.3099360569930365E-4</v>
      </c>
      <c r="K6" s="82">
        <f t="shared" si="0"/>
        <v>-4.4465847569552522E-5</v>
      </c>
      <c r="M6" s="96">
        <f>Daten!E22</f>
        <v>45938</v>
      </c>
      <c r="N6" s="93" cm="1">
        <f t="array" ref="N6">PRODUCT(1+$K$2:K6)-1</f>
        <v>2.6619735341792961E-5</v>
      </c>
      <c r="O6" s="93" cm="1">
        <f t="array" ref="O6">PRODUCT(1+$AY$76:AY80)-1</f>
        <v>9.17628950867444E-4</v>
      </c>
      <c r="P6" s="97">
        <f t="shared" si="1"/>
        <v>-8.9100921552565104E-4</v>
      </c>
    </row>
    <row r="7" spans="1:16" x14ac:dyDescent="0.45">
      <c r="A7" s="82">
        <f>Daten!G23/Daten!G22-1</f>
        <v>8.8571050727903611E-5</v>
      </c>
      <c r="B7" s="82">
        <f>Daten!I23/Daten!I22-1</f>
        <v>-4.2327444033873896E-5</v>
      </c>
      <c r="C7" s="82">
        <f>Daten!L23/Daten!L22-1</f>
        <v>-3.5610983381006989E-4</v>
      </c>
      <c r="D7" s="82">
        <f>Daten!R23/Daten!R22-1</f>
        <v>-4.5595760150707321E-4</v>
      </c>
      <c r="E7" s="82">
        <f>Daten!AC23/Daten!AC22-1</f>
        <v>-2.4689055686200057E-5</v>
      </c>
      <c r="F7" s="82">
        <f>Daten!AE23/Daten!AE22-1</f>
        <v>-2.9903187468949266E-4</v>
      </c>
      <c r="G7" s="82">
        <f>Daten!AJ23/Daten!AJ22-1</f>
        <v>-1.9264694157627993E-4</v>
      </c>
      <c r="H7" s="82">
        <f>Daten!AO23/Daten!AO22-1</f>
        <v>-5.5925628062503119E-4</v>
      </c>
      <c r="I7" s="82">
        <f>Daten!AU23/Daten!AU22-1</f>
        <v>6.7239478793479357E-4</v>
      </c>
      <c r="J7" s="82">
        <f>Daten!AV23/Daten!AV22-1</f>
        <v>7.3589590210976219E-4</v>
      </c>
      <c r="K7" s="82">
        <f t="shared" si="0"/>
        <v>-4.3315729115556147E-5</v>
      </c>
      <c r="M7" s="96">
        <f>Daten!E23</f>
        <v>45939</v>
      </c>
      <c r="N7" s="93" cm="1">
        <f t="array" ref="N7">PRODUCT(1+$K$2:K7)-1</f>
        <v>-1.6697146826949449E-5</v>
      </c>
      <c r="O7" s="93" cm="1">
        <f t="array" ref="O7">PRODUCT(1+$AY$76:AY81)-1</f>
        <v>6.269739714273026E-4</v>
      </c>
      <c r="P7" s="97">
        <f t="shared" si="1"/>
        <v>-6.4367111825425205E-4</v>
      </c>
    </row>
    <row r="8" spans="1:16" x14ac:dyDescent="0.45">
      <c r="A8" s="82">
        <f>Daten!G24/Daten!G23-1</f>
        <v>9.4625058569475229E-4</v>
      </c>
      <c r="B8" s="82">
        <f>Daten!I24/Daten!I23-1</f>
        <v>1.2551363080948175E-3</v>
      </c>
      <c r="C8" s="82">
        <f>Daten!L24/Daten!L23-1</f>
        <v>9.0353771394657834E-4</v>
      </c>
      <c r="D8" s="82">
        <f>Daten!R24/Daten!R23-1</f>
        <v>1.4156948657340074E-3</v>
      </c>
      <c r="E8" s="82">
        <f>Daten!AC24/Daten!AC23-1</f>
        <v>1.5621795993476795E-3</v>
      </c>
      <c r="F8" s="82">
        <f>Daten!AE24/Daten!AE23-1</f>
        <v>2.1304067560099504E-3</v>
      </c>
      <c r="G8" s="82">
        <f>Daten!AJ24/Daten!AJ23-1</f>
        <v>1.6741992759141677E-3</v>
      </c>
      <c r="H8" s="82">
        <f>Daten!AO24/Daten!AO23-1</f>
        <v>1.6751148993263687E-3</v>
      </c>
      <c r="I8" s="82">
        <f>Daten!AU24/Daten!AU23-1</f>
        <v>3.7165319979437506E-4</v>
      </c>
      <c r="J8" s="82">
        <f>Daten!AV24/Daten!AV23-1</f>
        <v>2.4311653256403609E-4</v>
      </c>
      <c r="K8" s="82">
        <f t="shared" si="0"/>
        <v>1.2177289736426734E-3</v>
      </c>
      <c r="M8" s="96">
        <f>Daten!E24</f>
        <v>45940</v>
      </c>
      <c r="N8" s="93" cm="1">
        <f t="array" ref="N8">PRODUCT(1+$K$2:K8)-1</f>
        <v>1.2010114942162531E-3</v>
      </c>
      <c r="O8" s="93" cm="1">
        <f t="array" ref="O8">PRODUCT(1+$AY$76:AY82)-1</f>
        <v>1.0630049362769789E-3</v>
      </c>
      <c r="P8" s="97">
        <f t="shared" si="1"/>
        <v>1.3800655793927419E-4</v>
      </c>
    </row>
    <row r="9" spans="1:16" x14ac:dyDescent="0.45">
      <c r="A9" s="82">
        <f>Daten!G25/Daten!G24-1</f>
        <v>6.0261387999216431E-4</v>
      </c>
      <c r="B9" s="82">
        <f>Daten!I25/Daten!I24-1</f>
        <v>8.9562707956947207E-4</v>
      </c>
      <c r="C9" s="82">
        <f>Daten!L25/Daten!L24-1</f>
        <v>6.8562484586354167E-4</v>
      </c>
      <c r="D9" s="82">
        <f>Daten!R25/Daten!R24-1</f>
        <v>1.7168880919697926E-3</v>
      </c>
      <c r="E9" s="82">
        <f>Daten!AC25/Daten!AC24-1</f>
        <v>1.3871109660137382E-3</v>
      </c>
      <c r="F9" s="82">
        <f>Daten!AE25/Daten!AE24-1</f>
        <v>1.2365334565838104E-3</v>
      </c>
      <c r="G9" s="82">
        <f>Daten!AJ25/Daten!AJ24-1</f>
        <v>9.4383713717349771E-4</v>
      </c>
      <c r="H9" s="82">
        <f>Daten!AO25/Daten!AO24-1</f>
        <v>1.4184538515489287E-3</v>
      </c>
      <c r="I9" s="82">
        <f>Daten!AU25/Daten!AU24-1</f>
        <v>1.7000000000000348E-4</v>
      </c>
      <c r="J9" s="82">
        <f>Daten!AV25/Daten!AV24-1</f>
        <v>1.5520000000002199E-4</v>
      </c>
      <c r="K9" s="82">
        <f t="shared" si="0"/>
        <v>9.2118893087149716E-4</v>
      </c>
      <c r="M9" s="96">
        <f>Daten!E25</f>
        <v>45944</v>
      </c>
      <c r="N9" s="93" cm="1">
        <f t="array" ref="N9">PRODUCT(1+$K$2:K9)-1</f>
        <v>2.1233067835821906E-3</v>
      </c>
      <c r="O9" s="93" cm="1">
        <f t="array" ref="O9">PRODUCT(1+$AY$76:AY83)-1</f>
        <v>1.6058251775419308E-3</v>
      </c>
      <c r="P9" s="97">
        <f t="shared" si="1"/>
        <v>5.1748160604025983E-4</v>
      </c>
    </row>
    <row r="10" spans="1:16" x14ac:dyDescent="0.45">
      <c r="A10" s="82">
        <f>Daten!G26/Daten!G25-1</f>
        <v>1.3159760683434385E-4</v>
      </c>
      <c r="B10" s="82">
        <f>Daten!I26/Daten!I25-1</f>
        <v>1.3679999999993697E-4</v>
      </c>
      <c r="C10" s="82">
        <f>Daten!L26/Daten!L25-1</f>
        <v>1.652000000000875E-4</v>
      </c>
      <c r="D10" s="82">
        <f>Daten!R26/Daten!R25-1</f>
        <v>2.6999999999999247E-4</v>
      </c>
      <c r="E10" s="82">
        <f>Daten!AC26/Daten!AC25-1</f>
        <v>4.8876286110877132E-4</v>
      </c>
      <c r="F10" s="82">
        <f>Daten!AE26/Daten!AE25-1</f>
        <v>-1.3834520533828609E-5</v>
      </c>
      <c r="G10" s="82">
        <f>Daten!AJ26/Daten!AJ25-1</f>
        <v>1.0330213240439257E-3</v>
      </c>
      <c r="H10" s="82">
        <f>Daten!AO26/Daten!AO25-1</f>
        <v>3.2585206035529168E-4</v>
      </c>
      <c r="I10" s="82">
        <f>Daten!AU26/Daten!AU25-1</f>
        <v>2.8597475131111327E-3</v>
      </c>
      <c r="J10" s="82">
        <f>Daten!AV26/Daten!AV25-1</f>
        <v>2.6402580339892623E-3</v>
      </c>
      <c r="K10" s="82">
        <f t="shared" si="0"/>
        <v>8.0374048789089159E-4</v>
      </c>
      <c r="M10" s="96">
        <f>Daten!E26</f>
        <v>45945</v>
      </c>
      <c r="N10" s="93" cm="1">
        <f t="array" ref="N10">PRODUCT(1+$K$2:K10)-1</f>
        <v>2.9287538591031836E-3</v>
      </c>
      <c r="O10" s="93" cm="1">
        <f t="array" ref="O10">PRODUCT(1+$AY$76:AY84)-1</f>
        <v>2.790088441362748E-3</v>
      </c>
      <c r="P10" s="97">
        <f t="shared" si="1"/>
        <v>1.3866541774043561E-4</v>
      </c>
    </row>
    <row r="11" spans="1:16" x14ac:dyDescent="0.45">
      <c r="A11" s="82">
        <f>Daten!G27/Daten!G26-1</f>
        <v>1.0296473852993149E-3</v>
      </c>
      <c r="B11" s="82">
        <f>Daten!I27/Daten!I26-1</f>
        <v>1.4726807269505038E-3</v>
      </c>
      <c r="C11" s="82">
        <f>Daten!L27/Daten!L26-1</f>
        <v>8.1485529227753872E-4</v>
      </c>
      <c r="D11" s="82">
        <f>Daten!R27/Daten!R26-1</f>
        <v>1.3709700354225252E-3</v>
      </c>
      <c r="E11" s="82">
        <f>Daten!AC27/Daten!AC26-1</f>
        <v>1.1276332005050183E-3</v>
      </c>
      <c r="F11" s="82">
        <f>Daten!AE27/Daten!AE26-1</f>
        <v>1.9581790356373308E-3</v>
      </c>
      <c r="G11" s="82">
        <f>Daten!AJ27/Daten!AJ26-1</f>
        <v>7.1492472773893034E-4</v>
      </c>
      <c r="H11" s="82">
        <f>Daten!AO27/Daten!AO26-1</f>
        <v>1.2473513056172614E-3</v>
      </c>
      <c r="I11" s="82">
        <f>Daten!AU27/Daten!AU26-1</f>
        <v>2.8262436437400673E-3</v>
      </c>
      <c r="J11" s="82">
        <f>Daten!AV27/Daten!AV26-1</f>
        <v>2.5174679466508643E-3</v>
      </c>
      <c r="K11" s="82">
        <f t="shared" si="0"/>
        <v>1.5079953299839354E-3</v>
      </c>
      <c r="M11" s="96">
        <f>Daten!E27</f>
        <v>45946</v>
      </c>
      <c r="N11" s="93" cm="1">
        <f t="array" ref="N11">PRODUCT(1+$K$2:K11)-1</f>
        <v>4.4411657362293244E-3</v>
      </c>
      <c r="O11" s="93" cm="1">
        <f t="array" ref="O11">PRODUCT(1+$AY$76:AY85)-1</f>
        <v>4.0249022285274716E-3</v>
      </c>
      <c r="P11" s="97">
        <f t="shared" si="1"/>
        <v>4.1626350770185283E-4</v>
      </c>
    </row>
    <row r="12" spans="1:16" x14ac:dyDescent="0.45">
      <c r="A12" s="82">
        <f>Daten!G28/Daten!G27-1</f>
        <v>-2.9577762585919487E-4</v>
      </c>
      <c r="B12" s="82">
        <f>Daten!I28/Daten!I27-1</f>
        <v>4.7869011278622864E-5</v>
      </c>
      <c r="C12" s="82">
        <f>Daten!L28/Daten!L27-1</f>
        <v>-5.1243803086298279E-5</v>
      </c>
      <c r="D12" s="82">
        <f>Daten!R28/Daten!R27-1</f>
        <v>-3.7505766892398373E-4</v>
      </c>
      <c r="E12" s="82">
        <f>Daten!AC28/Daten!AC27-1</f>
        <v>-2.3594597559473129E-4</v>
      </c>
      <c r="F12" s="82">
        <f>Daten!AE28/Daten!AE27-1</f>
        <v>-6.9658711126252548E-4</v>
      </c>
      <c r="G12" s="82">
        <f>Daten!AJ28/Daten!AJ27-1</f>
        <v>-2.5494364680268555E-3</v>
      </c>
      <c r="H12" s="82">
        <f>Daten!AO28/Daten!AO27-1</f>
        <v>-1.0990919069486793E-3</v>
      </c>
      <c r="I12" s="82">
        <f>Daten!AU28/Daten!AU27-1</f>
        <v>-8.0056115078663836E-5</v>
      </c>
      <c r="J12" s="82">
        <f>Daten!AV28/Daten!AV27-1</f>
        <v>2.4212321985328522E-4</v>
      </c>
      <c r="K12" s="82">
        <f t="shared" si="0"/>
        <v>-5.0932044436490247E-4</v>
      </c>
      <c r="M12" s="96">
        <f>Daten!E28</f>
        <v>45947</v>
      </c>
      <c r="N12" s="93" cm="1">
        <f t="array" ref="N12">PRODUCT(1+$K$2:K12)-1</f>
        <v>3.9295833153580872E-3</v>
      </c>
      <c r="O12" s="93" cm="1">
        <f t="array" ref="O12">PRODUCT(1+$AY$76:AY86)-1</f>
        <v>3.5052645996498377E-3</v>
      </c>
      <c r="P12" s="97">
        <f t="shared" si="1"/>
        <v>4.2431871570824953E-4</v>
      </c>
    </row>
    <row r="13" spans="1:16" x14ac:dyDescent="0.45">
      <c r="A13" s="82">
        <f>Daten!G29/Daten!G28-1</f>
        <v>1.3163132776061737E-4</v>
      </c>
      <c r="B13" s="82">
        <f>Daten!I29/Daten!I28-1</f>
        <v>-4.4169573231556125E-4</v>
      </c>
      <c r="C13" s="82">
        <f>Daten!L29/Daten!L28-1</f>
        <v>-8.0327433831239858E-6</v>
      </c>
      <c r="D13" s="82">
        <f>Daten!R29/Daten!R28-1</f>
        <v>6.1162046398388625E-4</v>
      </c>
      <c r="E13" s="82">
        <f>Daten!AC29/Daten!AC28-1</f>
        <v>9.1385978739655371E-4</v>
      </c>
      <c r="F13" s="82">
        <f>Daten!AE29/Daten!AE28-1</f>
        <v>1.0722663265128052E-3</v>
      </c>
      <c r="G13" s="82">
        <f>Daten!AJ29/Daten!AJ28-1</f>
        <v>8.5395954641453997E-4</v>
      </c>
      <c r="H13" s="82">
        <f>Daten!AO29/Daten!AO28-1</f>
        <v>1.2898236130602925E-3</v>
      </c>
      <c r="I13" s="82">
        <f>Daten!AU29/Daten!AU28-1</f>
        <v>-7.4244165357140179E-4</v>
      </c>
      <c r="J13" s="82">
        <f>Daten!AV29/Daten!AV28-1</f>
        <v>-6.5821204253524446E-4</v>
      </c>
      <c r="K13" s="82">
        <f t="shared" si="0"/>
        <v>3.0227788933233634E-4</v>
      </c>
      <c r="M13" s="96">
        <f>Daten!E29</f>
        <v>45950</v>
      </c>
      <c r="N13" s="93" cm="1">
        <f t="array" ref="N13">PRODUCT(1+$K$2:K13)-1</f>
        <v>4.2330490308408741E-3</v>
      </c>
      <c r="O13" s="93" cm="1">
        <f t="array" ref="O13">PRODUCT(1+$AY$76:AY87)-1</f>
        <v>3.8649796949450366E-3</v>
      </c>
      <c r="P13" s="97">
        <f t="shared" si="1"/>
        <v>3.6806933589583757E-4</v>
      </c>
    </row>
    <row r="14" spans="1:16" x14ac:dyDescent="0.45">
      <c r="A14" s="82">
        <f>Daten!G30/Daten!G29-1</f>
        <v>1.7439999999990796E-4</v>
      </c>
      <c r="B14" s="82">
        <f>Daten!I30/Daten!I29-1</f>
        <v>7.5976350298900819E-4</v>
      </c>
      <c r="C14" s="82">
        <f>Daten!L30/Daten!L29-1</f>
        <v>1.2188101518506578E-4</v>
      </c>
      <c r="D14" s="82">
        <f>Daten!R30/Daten!R29-1</f>
        <v>1.02819586628633E-3</v>
      </c>
      <c r="E14" s="82">
        <f>Daten!AC30/Daten!AC29-1</f>
        <v>7.4272691045251804E-4</v>
      </c>
      <c r="F14" s="82">
        <f>Daten!AE30/Daten!AE29-1</f>
        <v>6.2945545648740442E-4</v>
      </c>
      <c r="G14" s="82">
        <f>Daten!AJ30/Daten!AJ29-1</f>
        <v>-1.7858229646409152E-3</v>
      </c>
      <c r="H14" s="82">
        <f>Daten!AO30/Daten!AO29-1</f>
        <v>7.0207460147120315E-4</v>
      </c>
      <c r="I14" s="82">
        <f>Daten!AU30/Daten!AU29-1</f>
        <v>9.976441834143035E-4</v>
      </c>
      <c r="J14" s="82">
        <f>Daten!AV30/Daten!AV29-1</f>
        <v>8.3387363503129031E-4</v>
      </c>
      <c r="K14" s="82">
        <f t="shared" si="0"/>
        <v>4.2041922066761163E-4</v>
      </c>
      <c r="M14" s="96">
        <f>Daten!E30</f>
        <v>45951</v>
      </c>
      <c r="N14" s="93" cm="1">
        <f t="array" ref="N14">PRODUCT(1+$K$2:K14)-1</f>
        <v>4.6552479066830355E-3</v>
      </c>
      <c r="O14" s="93" cm="1">
        <f t="array" ref="O14">PRODUCT(1+$AY$76:AY88)-1</f>
        <v>4.5748279948667481E-3</v>
      </c>
      <c r="P14" s="97">
        <f t="shared" si="1"/>
        <v>8.0419911816287382E-5</v>
      </c>
    </row>
    <row r="15" spans="1:16" x14ac:dyDescent="0.45">
      <c r="A15" s="82">
        <f>Daten!G31/Daten!G30-1</f>
        <v>1.3162711555092521E-4</v>
      </c>
      <c r="B15" s="82">
        <f>Daten!I31/Daten!I30-1</f>
        <v>4.9237834912618794E-4</v>
      </c>
      <c r="C15" s="82">
        <f>Daten!L31/Daten!L30-1</f>
        <v>3.3845002001120505E-4</v>
      </c>
      <c r="D15" s="82">
        <f>Daten!R31/Daten!R30-1</f>
        <v>-1.4684391324015778E-4</v>
      </c>
      <c r="E15" s="82">
        <f>Daten!AC31/Daten!AC30-1</f>
        <v>2.3248833167821559E-4</v>
      </c>
      <c r="F15" s="82">
        <f>Daten!AE31/Daten!AE30-1</f>
        <v>-3.7432243287405242E-4</v>
      </c>
      <c r="G15" s="82">
        <f>Daten!AJ31/Daten!AJ30-1</f>
        <v>4.00107827032814E-4</v>
      </c>
      <c r="H15" s="82">
        <f>Daten!AO31/Daten!AO30-1</f>
        <v>-9.1272163985633981E-6</v>
      </c>
      <c r="I15" s="82">
        <f>Daten!AU31/Daten!AU30-1</f>
        <v>5.0485358523588708E-4</v>
      </c>
      <c r="J15" s="82">
        <f>Daten!AV31/Daten!AV30-1</f>
        <v>4.9848318073242304E-4</v>
      </c>
      <c r="K15" s="82">
        <f t="shared" si="0"/>
        <v>2.0680948468548843E-4</v>
      </c>
      <c r="M15" s="96">
        <f>Daten!E31</f>
        <v>45952</v>
      </c>
      <c r="N15" s="93" cm="1">
        <f t="array" ref="N15">PRODUCT(1+$K$2:K15)-1</f>
        <v>4.8630201407890983E-3</v>
      </c>
      <c r="O15" s="93" cm="1">
        <f t="array" ref="O15">PRODUCT(1+$AY$76:AY89)-1</f>
        <v>4.5211207025759315E-3</v>
      </c>
      <c r="P15" s="97">
        <f t="shared" si="1"/>
        <v>3.4189943821316682E-4</v>
      </c>
    </row>
    <row r="16" spans="1:16" x14ac:dyDescent="0.45">
      <c r="A16" s="82">
        <f>Daten!G32/Daten!G31-1</f>
        <v>-2.9637997228260105E-4</v>
      </c>
      <c r="B16" s="82">
        <f>Daten!I32/Daten!I31-1</f>
        <v>-1.1535590226285919E-3</v>
      </c>
      <c r="C16" s="82">
        <f>Daten!L32/Daten!L31-1</f>
        <v>-4.4147768263591569E-4</v>
      </c>
      <c r="D16" s="82">
        <f>Daten!R32/Daten!R31-1</f>
        <v>-2.9906906841092873E-4</v>
      </c>
      <c r="E16" s="82">
        <f>Daten!AC32/Daten!AC31-1</f>
        <v>-6.1798996683348761E-4</v>
      </c>
      <c r="F16" s="82">
        <f>Daten!AE32/Daten!AE31-1</f>
        <v>-9.7915675396764712E-4</v>
      </c>
      <c r="G16" s="82">
        <f>Daten!AJ32/Daten!AJ31-1</f>
        <v>8.0771245982491635E-5</v>
      </c>
      <c r="H16" s="82">
        <f>Daten!AO32/Daten!AO31-1</f>
        <v>-5.9560309153650071E-4</v>
      </c>
      <c r="I16" s="82">
        <f>Daten!AU32/Daten!AU31-1</f>
        <v>-1.3537599400417211E-3</v>
      </c>
      <c r="J16" s="82">
        <f>Daten!AV32/Daten!AV31-1</f>
        <v>-1.2762138409274648E-3</v>
      </c>
      <c r="K16" s="82">
        <f t="shared" si="0"/>
        <v>-6.9324380932823666E-4</v>
      </c>
      <c r="M16" s="96">
        <f>Daten!E32</f>
        <v>45953</v>
      </c>
      <c r="N16" s="93" cm="1">
        <f t="array" ref="N16">PRODUCT(1+$K$2:K16)-1</f>
        <v>4.1664050728535962E-3</v>
      </c>
      <c r="O16" s="93" cm="1">
        <f t="array" ref="O16">PRODUCT(1+$AY$76:AY90)-1</f>
        <v>4.1540267359592153E-3</v>
      </c>
      <c r="P16" s="97">
        <f t="shared" si="1"/>
        <v>1.2378336894380837E-5</v>
      </c>
    </row>
    <row r="17" spans="1:16" x14ac:dyDescent="0.45">
      <c r="A17" s="82">
        <f>Daten!G33/Daten!G32-1</f>
        <v>3.0284515751022312E-4</v>
      </c>
      <c r="B17" s="82">
        <f>Daten!I33/Daten!I32-1</f>
        <v>5.821845964171235E-4</v>
      </c>
      <c r="C17" s="82">
        <f>Daten!L33/Daten!L32-1</f>
        <v>4.2530850162814104E-4</v>
      </c>
      <c r="D17" s="82">
        <f>Daten!R33/Daten!R32-1</f>
        <v>1.1812222894591606E-4</v>
      </c>
      <c r="E17" s="82">
        <f>Daten!AC33/Daten!AC32-1</f>
        <v>8.2801169385993134E-4</v>
      </c>
      <c r="F17" s="82">
        <f>Daten!AE33/Daten!AE32-1</f>
        <v>1.0733619131122474E-3</v>
      </c>
      <c r="G17" s="82">
        <f>Daten!AJ33/Daten!AJ32-1</f>
        <v>1.3564816457509732E-3</v>
      </c>
      <c r="H17" s="82">
        <f>Daten!AO33/Daten!AO32-1</f>
        <v>5.3516843793843805E-4</v>
      </c>
      <c r="I17" s="82">
        <f>Daten!AU33/Daten!AU32-1</f>
        <v>-2.8093663523298673E-4</v>
      </c>
      <c r="J17" s="82">
        <f>Daten!AV33/Daten!AV32-1</f>
        <v>-2.5464342952963293E-4</v>
      </c>
      <c r="K17" s="82">
        <f t="shared" si="0"/>
        <v>4.6859041104003741E-4</v>
      </c>
      <c r="M17" s="96">
        <f>Daten!E33</f>
        <v>45954</v>
      </c>
      <c r="N17" s="93" cm="1">
        <f t="array" ref="N17">PRODUCT(1+$K$2:K17)-1</f>
        <v>4.6369478213592608E-3</v>
      </c>
      <c r="O17" s="93" cm="1">
        <f t="array" ref="O17">PRODUCT(1+$AY$76:AY91)-1</f>
        <v>4.8469066505720804E-3</v>
      </c>
      <c r="P17" s="97">
        <f t="shared" si="1"/>
        <v>-2.0995882921281961E-4</v>
      </c>
    </row>
    <row r="18" spans="1:16" x14ac:dyDescent="0.45">
      <c r="A18" s="82">
        <f>Daten!G34/Daten!G33-1</f>
        <v>-8.2528314673480097E-5</v>
      </c>
      <c r="B18" s="82">
        <f>Daten!I34/Daten!I33-1</f>
        <v>-3.0858459641702751E-4</v>
      </c>
      <c r="C18" s="82">
        <f>Daten!L34/Daten!L33-1</f>
        <v>1.2185940000364326E-4</v>
      </c>
      <c r="D18" s="82">
        <f>Daten!R34/Daten!R33-1</f>
        <v>5.7370244727383835E-4</v>
      </c>
      <c r="E18" s="82">
        <f>Daten!AC34/Daten!AC33-1</f>
        <v>4.8741833313470373E-4</v>
      </c>
      <c r="F18" s="82">
        <f>Daten!AE34/Daten!AE33-1</f>
        <v>6.7015278019111335E-4</v>
      </c>
      <c r="G18" s="82">
        <f>Daten!AJ34/Daten!AJ33-1</f>
        <v>2.6298030449201093E-4</v>
      </c>
      <c r="H18" s="82">
        <f>Daten!AO34/Daten!AO33-1</f>
        <v>8.6956186999653795E-4</v>
      </c>
      <c r="I18" s="82">
        <f>Daten!AU34/Daten!AU33-1</f>
        <v>1.4153171110884433E-3</v>
      </c>
      <c r="J18" s="82">
        <f>Daten!AV34/Daten!AV33-1</f>
        <v>1.2269517030616406E-3</v>
      </c>
      <c r="K18" s="82">
        <f t="shared" si="0"/>
        <v>5.236831038151424E-4</v>
      </c>
      <c r="M18" s="96">
        <f>Daten!E34</f>
        <v>45957</v>
      </c>
      <c r="N18" s="93" cm="1">
        <f t="array" ref="N18">PRODUCT(1+$K$2:K18)-1</f>
        <v>5.1630592164015887E-3</v>
      </c>
      <c r="O18" s="93" cm="1">
        <f t="array" ref="O18">PRODUCT(1+$AY$76:AY92)-1</f>
        <v>5.5047261641092415E-3</v>
      </c>
      <c r="P18" s="97">
        <f t="shared" si="1"/>
        <v>-3.4166694770765282E-4</v>
      </c>
    </row>
    <row r="19" spans="1:16" x14ac:dyDescent="0.45">
      <c r="A19" s="82">
        <f>Daten!G35/Daten!G34-1</f>
        <v>3.0288315716298086E-4</v>
      </c>
      <c r="B19" s="82">
        <f>Daten!I35/Daten!I34-1</f>
        <v>5.821845964171235E-4</v>
      </c>
      <c r="C19" s="82">
        <f>Daten!L35/Daten!L34-1</f>
        <v>7.8505822268537528E-5</v>
      </c>
      <c r="D19" s="82">
        <f>Daten!R35/Daten!R34-1</f>
        <v>3.4589243914506795E-4</v>
      </c>
      <c r="E19" s="82">
        <f>Daten!AC35/Daten!AC34-1</f>
        <v>1.4752413494556471E-4</v>
      </c>
      <c r="F19" s="82">
        <f>Daten!AE35/Daten!AE34-1</f>
        <v>4.2882982179981433E-4</v>
      </c>
      <c r="G19" s="82">
        <f>Daten!AJ35/Daten!AJ34-1</f>
        <v>-5.5637666029850763E-4</v>
      </c>
      <c r="H19" s="82">
        <f>Daten!AO35/Daten!AO34-1</f>
        <v>6.5972571303740679E-4</v>
      </c>
      <c r="I19" s="82">
        <f>Daten!AU35/Daten!AU34-1</f>
        <v>4.446942342584137E-6</v>
      </c>
      <c r="J19" s="82">
        <f>Daten!AV35/Daten!AV34-1</f>
        <v>-9.7251248368013243E-5</v>
      </c>
      <c r="K19" s="82">
        <f t="shared" si="0"/>
        <v>1.896364718452559E-4</v>
      </c>
      <c r="M19" s="96">
        <f>Daten!E35</f>
        <v>45958</v>
      </c>
      <c r="N19" s="93" cm="1">
        <f t="array" ref="N19">PRODUCT(1+$K$2:K19)-1</f>
        <v>5.3536747925806427E-3</v>
      </c>
      <c r="O19" s="93" cm="1">
        <f t="array" ref="O19">PRODUCT(1+$AY$76:AY93)-1</f>
        <v>5.5239835482507882E-3</v>
      </c>
      <c r="P19" s="97">
        <f t="shared" si="1"/>
        <v>-1.7030875567014547E-4</v>
      </c>
    </row>
    <row r="20" spans="1:16" x14ac:dyDescent="0.45">
      <c r="A20" s="82">
        <f>Daten!G36/Daten!G35-1</f>
        <v>-7.6869370807419735E-4</v>
      </c>
      <c r="B20" s="82">
        <f>Daten!I36/Daten!I35-1</f>
        <v>-1.1114297130332407E-3</v>
      </c>
      <c r="C20" s="82">
        <f>Daten!L36/Daten!L35-1</f>
        <v>-9.6340198741662331E-4</v>
      </c>
      <c r="D20" s="82">
        <f>Daten!R36/Daten!R35-1</f>
        <v>-1.7837652795891223E-3</v>
      </c>
      <c r="E20" s="82">
        <f>Daten!AC36/Daten!AC35-1</f>
        <v>-2.7936817457386853E-3</v>
      </c>
      <c r="F20" s="82">
        <f>Daten!AE36/Daten!AE35-1</f>
        <v>-2.188109051628917E-3</v>
      </c>
      <c r="G20" s="82">
        <f>Daten!AJ36/Daten!AJ35-1</f>
        <v>-2.4328150343085886E-3</v>
      </c>
      <c r="H20" s="82">
        <f>Daten!AO36/Daten!AO35-1</f>
        <v>-2.7338669511588476E-3</v>
      </c>
      <c r="I20" s="82">
        <f>Daten!AU36/Daten!AU35-1</f>
        <v>1.7000000000000348E-4</v>
      </c>
      <c r="J20" s="82">
        <f>Daten!AV36/Daten!AV35-1</f>
        <v>1.5520000000002199E-4</v>
      </c>
      <c r="K20" s="82">
        <f t="shared" si="0"/>
        <v>-1.4450563470948196E-3</v>
      </c>
      <c r="M20" s="96">
        <f>Daten!E36</f>
        <v>45959</v>
      </c>
      <c r="N20" s="93" cm="1">
        <f t="array" ref="N20">PRODUCT(1+$K$2:K20)-1</f>
        <v>3.9008820837465041E-3</v>
      </c>
      <c r="O20" s="93" cm="1">
        <f t="array" ref="O20">PRODUCT(1+$AY$76:AY94)-1</f>
        <v>4.5997672527047229E-3</v>
      </c>
      <c r="P20" s="97">
        <f t="shared" si="1"/>
        <v>-6.9888516895821873E-4</v>
      </c>
    </row>
    <row r="21" spans="1:16" x14ac:dyDescent="0.45">
      <c r="A21" s="82">
        <f>Daten!G37/Daten!G36-1</f>
        <v>4.5637490215577614E-5</v>
      </c>
      <c r="B21" s="82">
        <f>Daten!I37/Daten!I36-1</f>
        <v>-1.3114519013635029E-4</v>
      </c>
      <c r="C21" s="82">
        <f>Daten!L37/Daten!L36-1</f>
        <v>-8.6916867689801336E-6</v>
      </c>
      <c r="D21" s="82">
        <f>Daten!R37/Daten!R36-1</f>
        <v>-1.4955295064078555E-4</v>
      </c>
      <c r="E21" s="82">
        <f>Daten!AC37/Daten!AC36-1</f>
        <v>-7.519779500758661E-4</v>
      </c>
      <c r="F21" s="82">
        <f>Daten!AE37/Daten!AE36-1</f>
        <v>-1.2686620158882667E-3</v>
      </c>
      <c r="G21" s="82">
        <f>Daten!AJ37/Daten!AJ36-1</f>
        <v>-3.1407825315813431E-3</v>
      </c>
      <c r="H21" s="82">
        <f>Daten!AO37/Daten!AO36-1</f>
        <v>-6.8403889585999522E-4</v>
      </c>
      <c r="I21" s="82">
        <f>Daten!AU37/Daten!AU36-1</f>
        <v>1.7000000000000348E-4</v>
      </c>
      <c r="J21" s="82">
        <f>Daten!AV37/Daten!AV36-1</f>
        <v>1.5520000000002199E-4</v>
      </c>
      <c r="K21" s="82">
        <f t="shared" si="0"/>
        <v>-5.7640137307359842E-4</v>
      </c>
      <c r="M21" s="96">
        <f>Daten!E37</f>
        <v>45960</v>
      </c>
      <c r="N21" s="93" cm="1">
        <f t="array" ref="N21">PRODUCT(1+$K$2:K21)-1</f>
        <v>3.3222322368835489E-3</v>
      </c>
      <c r="O21" s="93" cm="1">
        <f t="array" ref="O21">PRODUCT(1+$AY$76:AY95)-1</f>
        <v>4.0460711538323757E-3</v>
      </c>
      <c r="P21" s="97">
        <f t="shared" si="1"/>
        <v>-7.2383891694882685E-4</v>
      </c>
    </row>
    <row r="22" spans="1:16" x14ac:dyDescent="0.45">
      <c r="A22" s="82">
        <f>Daten!G38/Daten!G37-1</f>
        <v>3.4607486413995581E-4</v>
      </c>
      <c r="B22" s="82">
        <f>Daten!I38/Daten!I37-1</f>
        <v>3.1544849363518424E-4</v>
      </c>
      <c r="C22" s="82">
        <f>Daten!L38/Daten!L37-1</f>
        <v>2.0867944959368501E-4</v>
      </c>
      <c r="D22" s="82">
        <f>Daten!R38/Daten!R37-1</f>
        <v>-2.6456334748470312E-4</v>
      </c>
      <c r="E22" s="82">
        <f>Daten!AC38/Daten!AC37-1</f>
        <v>-1.1014923180407976E-4</v>
      </c>
      <c r="F22" s="82">
        <f>Daten!AE38/Daten!AE37-1</f>
        <v>-2.9908107713594312E-4</v>
      </c>
      <c r="G22" s="82">
        <f>Daten!AJ38/Daten!AJ37-1</f>
        <v>-1.26215618360348E-3</v>
      </c>
      <c r="H22" s="82">
        <f>Daten!AO38/Daten!AO37-1</f>
        <v>-6.0139829044936199E-4</v>
      </c>
      <c r="I22" s="82">
        <f>Daten!AU38/Daten!AU37-1</f>
        <v>1.7000000000000348E-4</v>
      </c>
      <c r="J22" s="82">
        <f>Daten!AV38/Daten!AV37-1</f>
        <v>1.5520000000002199E-4</v>
      </c>
      <c r="K22" s="82">
        <f t="shared" si="0"/>
        <v>-1.3419453231087176E-4</v>
      </c>
      <c r="M22" s="96">
        <f>Daten!E38</f>
        <v>45961</v>
      </c>
      <c r="N22" s="93" cm="1">
        <f t="array" ref="N22">PRODUCT(1+$K$2:K22)-1</f>
        <v>3.187591879171503E-3</v>
      </c>
      <c r="O22" s="93" cm="1">
        <f t="array" ref="O22">PRODUCT(1+$AY$76:AY96)-1</f>
        <v>4.2271391336550224E-3</v>
      </c>
      <c r="P22" s="97">
        <f t="shared" si="1"/>
        <v>-1.0395472544835194E-3</v>
      </c>
    </row>
    <row r="23" spans="1:16" x14ac:dyDescent="0.45">
      <c r="A23" s="82">
        <f>Daten!G39/Daten!G38-1</f>
        <v>4.5650214412606971E-5</v>
      </c>
      <c r="B23" s="82">
        <f>Daten!I39/Daten!I38-1</f>
        <v>-4.887915009762489E-4</v>
      </c>
      <c r="C23" s="82">
        <f>Daten!L39/Daten!L38-1</f>
        <v>-5.2240790554991534E-5</v>
      </c>
      <c r="D23" s="82">
        <f>Daten!R39/Daten!R38-1</f>
        <v>-3.4173632004175225E-4</v>
      </c>
      <c r="E23" s="82">
        <f>Daten!AC39/Daten!AC38-1</f>
        <v>-1.6583387845744424E-3</v>
      </c>
      <c r="F23" s="82">
        <f>Daten!AE39/Daten!AE38-1</f>
        <v>-1.6014669399037063E-3</v>
      </c>
      <c r="G23" s="82">
        <f>Daten!AJ39/Daten!AJ38-1</f>
        <v>-8.0222292842280218E-4</v>
      </c>
      <c r="H23" s="82">
        <f>Daten!AO39/Daten!AO38-1</f>
        <v>-6.0287983520090904E-4</v>
      </c>
      <c r="I23" s="82">
        <f>Daten!AU39/Daten!AU38-1</f>
        <v>1.7000000000000348E-4</v>
      </c>
      <c r="J23" s="82">
        <f>Daten!AV39/Daten!AV38-1</f>
        <v>1.5520000000002199E-4</v>
      </c>
      <c r="K23" s="82">
        <f t="shared" si="0"/>
        <v>-5.1768268852622203E-4</v>
      </c>
      <c r="M23" s="96">
        <f>Daten!E39</f>
        <v>45964</v>
      </c>
      <c r="N23" s="93" cm="1">
        <f t="array" ref="N23">PRODUCT(1+$K$2:K23)-1</f>
        <v>2.6682590295112885E-3</v>
      </c>
      <c r="O23" s="93" cm="1">
        <f t="array" ref="O23">PRODUCT(1+$AY$76:AY97)-1</f>
        <v>4.0851626783642292E-3</v>
      </c>
      <c r="P23" s="97">
        <f t="shared" si="1"/>
        <v>-1.4169036488529407E-3</v>
      </c>
    </row>
    <row r="24" spans="1:16" x14ac:dyDescent="0.45">
      <c r="A24" s="82">
        <f>Daten!G40/Daten!G39-1</f>
        <v>3.4605790022013139E-4</v>
      </c>
      <c r="B24" s="82">
        <f>Daten!I40/Daten!I39-1</f>
        <v>1.1194681763051495E-3</v>
      </c>
      <c r="C24" s="82">
        <f>Daten!L40/Daten!L39-1</f>
        <v>1.652000000000875E-4</v>
      </c>
      <c r="D24" s="82">
        <f>Daten!R40/Daten!R39-1</f>
        <v>6.1420770038611572E-4</v>
      </c>
      <c r="E24" s="82">
        <f>Daten!AC40/Daten!AC39-1</f>
        <v>8.7867325733559376E-4</v>
      </c>
      <c r="F24" s="82">
        <f>Daten!AE40/Daten!AE39-1</f>
        <v>8.7936042491643107E-4</v>
      </c>
      <c r="G24" s="82">
        <f>Daten!AJ40/Daten!AJ39-1</f>
        <v>2.2107274400422483E-3</v>
      </c>
      <c r="H24" s="82">
        <f>Daten!AO40/Daten!AO39-1</f>
        <v>5.3823559490284723E-4</v>
      </c>
      <c r="I24" s="82">
        <f>Daten!AU40/Daten!AU39-1</f>
        <v>-2.957622372303903E-3</v>
      </c>
      <c r="J24" s="82">
        <f>Daten!AV40/Daten!AV39-1</f>
        <v>-2.8506427273764512E-3</v>
      </c>
      <c r="K24" s="82">
        <f t="shared" si="0"/>
        <v>9.4366539442825029E-5</v>
      </c>
      <c r="M24" s="96">
        <f>Daten!E40</f>
        <v>45965</v>
      </c>
      <c r="N24" s="93" cm="1">
        <f t="array" ref="N24">PRODUCT(1+$K$2:K24)-1</f>
        <v>2.7628773633250336E-3</v>
      </c>
      <c r="O24" s="93" cm="1">
        <f t="array" ref="O24">PRODUCT(1+$AY$76:AY98)-1</f>
        <v>3.8966591326261568E-3</v>
      </c>
      <c r="P24" s="97">
        <f t="shared" si="1"/>
        <v>-1.1337817693011232E-3</v>
      </c>
    </row>
    <row r="25" spans="1:16" x14ac:dyDescent="0.45">
      <c r="A25" s="82">
        <f>Daten!G41/Daten!G40-1</f>
        <v>1.7439999999990796E-4</v>
      </c>
      <c r="B25" s="82">
        <f>Daten!I41/Daten!I40-1</f>
        <v>1.3679999999993697E-4</v>
      </c>
      <c r="C25" s="82">
        <f>Daten!L41/Daten!L40-1</f>
        <v>1.652000000000875E-4</v>
      </c>
      <c r="D25" s="82">
        <f>Daten!R41/Daten!R40-1</f>
        <v>2.6999999999999247E-4</v>
      </c>
      <c r="E25" s="82">
        <f>Daten!AC41/Daten!AC40-1</f>
        <v>1.8999999999991246E-4</v>
      </c>
      <c r="F25" s="82">
        <f>Daten!AE41/Daten!AE40-1</f>
        <v>2.2799999999989495E-4</v>
      </c>
      <c r="G25" s="82">
        <f>Daten!AJ41/Daten!AJ40-1</f>
        <v>1.7200000000006099E-4</v>
      </c>
      <c r="H25" s="82">
        <f>Daten!AO41/Daten!AO40-1</f>
        <v>1.9999999999997797E-4</v>
      </c>
      <c r="I25" s="82">
        <f>Daten!AU41/Daten!AU40-1</f>
        <v>1.7000000000000348E-4</v>
      </c>
      <c r="J25" s="82">
        <f>Daten!AV41/Daten!AV40-1</f>
        <v>1.5520000000002199E-4</v>
      </c>
      <c r="K25" s="82">
        <f t="shared" si="0"/>
        <v>1.8615999999997966E-4</v>
      </c>
      <c r="M25" s="96">
        <f>Daten!E41</f>
        <v>45966</v>
      </c>
      <c r="N25" s="93" cm="1">
        <f t="array" ref="N25">PRODUCT(1+$K$2:K25)-1</f>
        <v>2.9495517005748706E-3</v>
      </c>
      <c r="O25" s="93" cm="1">
        <f t="array" ref="O25">PRODUCT(1+$AY$76:AY99)-1</f>
        <v>4.1101104428515889E-3</v>
      </c>
      <c r="P25" s="97">
        <f t="shared" si="1"/>
        <v>-1.1605587422767183E-3</v>
      </c>
    </row>
    <row r="26" spans="1:16" x14ac:dyDescent="0.45">
      <c r="A26" s="82">
        <f>Daten!G42/Daten!G41-1</f>
        <v>1.7439999999990796E-4</v>
      </c>
      <c r="B26" s="82">
        <f>Daten!I42/Daten!I41-1</f>
        <v>1.3679999999993697E-4</v>
      </c>
      <c r="C26" s="82">
        <f>Daten!L42/Daten!L41-1</f>
        <v>1.2169877475165514E-4</v>
      </c>
      <c r="D26" s="82">
        <f>Daten!R42/Daten!R41-1</f>
        <v>4.2289367589809501E-4</v>
      </c>
      <c r="E26" s="82">
        <f>Daten!AC42/Daten!AC41-1</f>
        <v>2.3300584069474439E-4</v>
      </c>
      <c r="F26" s="82">
        <f>Daten!AE42/Daten!AE41-1</f>
        <v>2.4554789972652813E-5</v>
      </c>
      <c r="G26" s="82">
        <f>Daten!AJ42/Daten!AJ41-1</f>
        <v>2.6444241880430042E-4</v>
      </c>
      <c r="H26" s="82">
        <f>Daten!AO42/Daten!AO41-1</f>
        <v>1.2552915769812323E-3</v>
      </c>
      <c r="I26" s="82">
        <f>Daten!AU42/Daten!AU41-1</f>
        <v>-9.1757794743119181E-4</v>
      </c>
      <c r="J26" s="82">
        <f>Daten!AV42/Daten!AV41-1</f>
        <v>-6.1708990691611287E-4</v>
      </c>
      <c r="K26" s="82">
        <f t="shared" si="0"/>
        <v>1.0984192227552203E-4</v>
      </c>
      <c r="M26" s="96">
        <f>Daten!E42</f>
        <v>45967</v>
      </c>
      <c r="N26" s="93" cm="1">
        <f t="array" ref="N26">PRODUCT(1+$K$2:K26)-1</f>
        <v>3.0597176072790777E-3</v>
      </c>
      <c r="O26" s="93" cm="1">
        <f t="array" ref="O26">PRODUCT(1+$AY$76:AY100)-1</f>
        <v>4.3756121765359257E-3</v>
      </c>
      <c r="P26" s="97">
        <f t="shared" si="1"/>
        <v>-1.315894569256848E-3</v>
      </c>
    </row>
    <row r="27" spans="1:16" x14ac:dyDescent="0.45">
      <c r="A27" s="82">
        <f>Daten!G43/Daten!G42-1</f>
        <v>3.0309891393720534E-4</v>
      </c>
      <c r="B27" s="82">
        <f>Daten!I43/Daten!I42-1</f>
        <v>5.8273338131242802E-4</v>
      </c>
      <c r="C27" s="82">
        <f>Daten!L43/Daten!L42-1</f>
        <v>1.2169441700304873E-4</v>
      </c>
      <c r="D27" s="82">
        <f>Daten!R43/Daten!R42-1</f>
        <v>-3.8017018812652736E-4</v>
      </c>
      <c r="E27" s="82">
        <f>Daten!AC43/Daten!AC42-1</f>
        <v>-1.5416602645401678E-4</v>
      </c>
      <c r="F27" s="82">
        <f>Daten!AE43/Daten!AE42-1</f>
        <v>1.465952233974388E-4</v>
      </c>
      <c r="G27" s="82">
        <f>Daten!AJ43/Daten!AJ42-1</f>
        <v>-1.0312889762345012E-3</v>
      </c>
      <c r="H27" s="82">
        <f>Daten!AO43/Daten!AO42-1</f>
        <v>-5.3036217239621486E-5</v>
      </c>
      <c r="I27" s="82">
        <f>Daten!AU43/Daten!AU42-1</f>
        <v>1.7000000000000348E-4</v>
      </c>
      <c r="J27" s="82">
        <f>Daten!AV43/Daten!AV42-1</f>
        <v>1.5520000000002199E-4</v>
      </c>
      <c r="K27" s="82">
        <f t="shared" si="0"/>
        <v>-1.393394724045205E-5</v>
      </c>
      <c r="M27" s="96">
        <f>Daten!E43</f>
        <v>45968</v>
      </c>
      <c r="N27" s="93" cm="1">
        <f t="array" ref="N27">PRODUCT(1+$K$2:K27)-1</f>
        <v>3.0457410260948947E-3</v>
      </c>
      <c r="O27" s="93" cm="1">
        <f t="array" ref="O27">PRODUCT(1+$AY$76:AY101)-1</f>
        <v>4.122739640174844E-3</v>
      </c>
      <c r="P27" s="97">
        <f t="shared" si="1"/>
        <v>-1.0769986140799492E-3</v>
      </c>
    </row>
    <row r="28" spans="1:16" x14ac:dyDescent="0.45">
      <c r="A28" s="82">
        <f>Daten!G44/Daten!G43-1</f>
        <v>-1.6888189271024867E-4</v>
      </c>
      <c r="B28" s="82">
        <f>Daten!I44/Daten!I43-1</f>
        <v>-4.8763502044801843E-4</v>
      </c>
      <c r="C28" s="82">
        <f>Daten!L44/Daten!L43-1</f>
        <v>-7.4942543156242269E-4</v>
      </c>
      <c r="D28" s="82">
        <f>Daten!R44/Daten!R43-1</f>
        <v>2.6999999999999247E-4</v>
      </c>
      <c r="E28" s="82">
        <f>Daten!AC44/Daten!AC43-1</f>
        <v>3.1909422395859366E-4</v>
      </c>
      <c r="F28" s="82">
        <f>Daten!AE44/Daten!AE43-1</f>
        <v>-1.6305921632819853E-5</v>
      </c>
      <c r="G28" s="82">
        <f>Daten!AJ44/Daten!AJ43-1</f>
        <v>-4.3089702295295851E-4</v>
      </c>
      <c r="H28" s="82">
        <f>Daten!AO44/Daten!AO43-1</f>
        <v>-6.8678956573187122E-4</v>
      </c>
      <c r="I28" s="82">
        <f>Daten!AU44/Daten!AU43-1</f>
        <v>1.7000000000000348E-4</v>
      </c>
      <c r="J28" s="82">
        <f>Daten!AV44/Daten!AV43-1</f>
        <v>1.5520000000002199E-4</v>
      </c>
      <c r="K28" s="82">
        <f t="shared" si="0"/>
        <v>-1.6256406310797278E-4</v>
      </c>
      <c r="M28" s="96">
        <f>Daten!E44</f>
        <v>45971</v>
      </c>
      <c r="N28" s="93" cm="1">
        <f t="array" ref="N28">PRODUCT(1+$K$2:K28)-1</f>
        <v>2.8826818349505512E-3</v>
      </c>
      <c r="O28" s="93" cm="1">
        <f t="array" ref="O28">PRODUCT(1+$AY$76:AY102)-1</f>
        <v>3.6954901325489953E-3</v>
      </c>
      <c r="P28" s="97">
        <f t="shared" si="1"/>
        <v>-8.1280829759844408E-4</v>
      </c>
    </row>
    <row r="29" spans="1:16" x14ac:dyDescent="0.45">
      <c r="A29" s="82">
        <f>Daten!G45/Daten!G44-1</f>
        <v>1.7439999999990796E-4</v>
      </c>
      <c r="B29" s="82">
        <f>Daten!I45/Daten!I44-1</f>
        <v>1.3679999999993697E-4</v>
      </c>
      <c r="C29" s="82">
        <f>Daten!L45/Daten!L44-1</f>
        <v>1.652000000000875E-4</v>
      </c>
      <c r="D29" s="82">
        <f>Daten!R45/Daten!R44-1</f>
        <v>2.6999999999999247E-4</v>
      </c>
      <c r="E29" s="82">
        <f>Daten!AC45/Daten!AC44-1</f>
        <v>1.8999999999991246E-4</v>
      </c>
      <c r="F29" s="82">
        <f>Daten!AE45/Daten!AE44-1</f>
        <v>2.2799999999989495E-4</v>
      </c>
      <c r="G29" s="82">
        <f>Daten!AJ45/Daten!AJ44-1</f>
        <v>1.7200000000006099E-4</v>
      </c>
      <c r="H29" s="82">
        <f>Daten!AO45/Daten!AO44-1</f>
        <v>1.9999999999997797E-4</v>
      </c>
      <c r="I29" s="82">
        <f>Daten!AU45/Daten!AU44-1</f>
        <v>1.7000000000000348E-4</v>
      </c>
      <c r="J29" s="82">
        <f>Daten!AV45/Daten!AV44-1</f>
        <v>1.5520000000002199E-4</v>
      </c>
      <c r="K29" s="82">
        <f t="shared" si="0"/>
        <v>1.8615999999997966E-4</v>
      </c>
      <c r="M29" s="96">
        <f>Daten!E45</f>
        <v>45972</v>
      </c>
      <c r="N29" s="93" cm="1">
        <f t="array" ref="N29">PRODUCT(1+$K$2:K29)-1</f>
        <v>3.0693784750008835E-3</v>
      </c>
      <c r="O29" s="93" cm="1">
        <f t="array" ref="O29">PRODUCT(1+$AY$76:AY103)-1</f>
        <v>3.890723243886729E-3</v>
      </c>
      <c r="P29" s="97">
        <f t="shared" si="1"/>
        <v>-8.2134476888584551E-4</v>
      </c>
    </row>
    <row r="30" spans="1:16" x14ac:dyDescent="0.45">
      <c r="A30" s="82">
        <f>Daten!G46/Daten!G45-1</f>
        <v>5.1768189271017562E-4</v>
      </c>
      <c r="B30" s="82">
        <f>Daten!I46/Daten!I45-1</f>
        <v>9.840301219861125E-4</v>
      </c>
      <c r="C30" s="82">
        <f>Daten!L46/Daten!L45-1</f>
        <v>1.2538216205497665E-3</v>
      </c>
      <c r="D30" s="82">
        <f>Daten!R46/Daten!R45-1</f>
        <v>5.7608369298223217E-4</v>
      </c>
      <c r="E30" s="82">
        <f>Daten!AC46/Daten!AC45-1</f>
        <v>1.2213746748814813E-3</v>
      </c>
      <c r="F30" s="82">
        <f>Daten!AE46/Daten!AE45-1</f>
        <v>7.5715590826264112E-4</v>
      </c>
      <c r="G30" s="82">
        <f>Daten!AJ46/Daten!AJ45-1</f>
        <v>-2.6682098972160562E-3</v>
      </c>
      <c r="H30" s="82">
        <f>Daten!AO46/Daten!AO45-1</f>
        <v>1.3398257829713156E-3</v>
      </c>
      <c r="I30" s="82">
        <f>Daten!AU46/Daten!AU45-1</f>
        <v>7.2269293523663514E-4</v>
      </c>
      <c r="J30" s="82">
        <f>Daten!AV46/Daten!AV45-1</f>
        <v>6.9068332933852616E-4</v>
      </c>
      <c r="K30" s="82">
        <f t="shared" si="0"/>
        <v>5.3951400617028298E-4</v>
      </c>
      <c r="M30" s="96">
        <f>Daten!E46</f>
        <v>45973</v>
      </c>
      <c r="N30" s="93" cm="1">
        <f t="array" ref="N30">PRODUCT(1+$K$2:K30)-1</f>
        <v>3.6105484538486721E-3</v>
      </c>
      <c r="O30" s="93" cm="1">
        <f t="array" ref="O30">PRODUCT(1+$AY$76:AY104)-1</f>
        <v>4.1665414107974197E-3</v>
      </c>
      <c r="P30" s="97">
        <f t="shared" si="1"/>
        <v>-5.5599295694874762E-4</v>
      </c>
    </row>
    <row r="31" spans="1:16" x14ac:dyDescent="0.45">
      <c r="A31" s="82">
        <f>Daten!G47/Daten!G46-1</f>
        <v>-2.5474477988263189E-4</v>
      </c>
      <c r="B31" s="82">
        <f>Daten!I47/Daten!I46-1</f>
        <v>-4.4270516832944917E-4</v>
      </c>
      <c r="C31" s="82">
        <f>Daten!L47/Daten!L46-1</f>
        <v>-1.8286211592821733E-4</v>
      </c>
      <c r="D31" s="82">
        <f>Daten!R47/Daten!R46-1</f>
        <v>-4.9561409321796646E-4</v>
      </c>
      <c r="E31" s="82">
        <f>Daten!AC47/Daten!AC46-1</f>
        <v>-1.5303210527986E-3</v>
      </c>
      <c r="F31" s="82">
        <f>Daten!AE47/Daten!AE46-1</f>
        <v>-6.2711106524926397E-4</v>
      </c>
      <c r="G31" s="82">
        <f>Daten!AJ47/Daten!AJ46-1</f>
        <v>-5.23354252894348E-3</v>
      </c>
      <c r="H31" s="82">
        <f>Daten!AO47/Daten!AO46-1</f>
        <v>-1.1512333137504438E-3</v>
      </c>
      <c r="I31" s="82">
        <f>Daten!AU47/Daten!AU46-1</f>
        <v>-4.6844477564000897E-4</v>
      </c>
      <c r="J31" s="82">
        <f>Daten!AV47/Daten!AV46-1</f>
        <v>-6.8782622264795812E-4</v>
      </c>
      <c r="K31" s="82">
        <f t="shared" si="0"/>
        <v>-1.107440511638802E-3</v>
      </c>
      <c r="M31" s="96">
        <f>Daten!E47</f>
        <v>45974</v>
      </c>
      <c r="N31" s="93" cm="1">
        <f t="array" ref="N31">PRODUCT(1+$K$2:K31)-1</f>
        <v>2.4991094745827613E-3</v>
      </c>
      <c r="O31" s="93" cm="1">
        <f t="array" ref="O31">PRODUCT(1+$AY$76:AY105)-1</f>
        <v>3.4681097000830441E-3</v>
      </c>
      <c r="P31" s="97">
        <f t="shared" si="1"/>
        <v>-9.6900022550028275E-4</v>
      </c>
    </row>
    <row r="32" spans="1:16" x14ac:dyDescent="0.45">
      <c r="A32" s="82">
        <f>Daten!G48/Daten!G47-1</f>
        <v>-1.2625385894649011E-4</v>
      </c>
      <c r="B32" s="82">
        <f>Daten!I48/Daten!I47-1</f>
        <v>3.1519165660687243E-4</v>
      </c>
      <c r="C32" s="82">
        <f>Daten!L48/Daten!L47-1</f>
        <v>-9.6029771427197375E-5</v>
      </c>
      <c r="D32" s="82">
        <f>Daten!R48/Daten!R47-1</f>
        <v>1.9336430509442337E-4</v>
      </c>
      <c r="E32" s="82">
        <f>Daten!AC48/Daten!AC47-1</f>
        <v>-2.842854083624502E-4</v>
      </c>
      <c r="F32" s="82">
        <f>Daten!AE48/Daten!AE47-1</f>
        <v>-3.8382609119136379E-4</v>
      </c>
      <c r="G32" s="82">
        <f>Daten!AJ48/Daten!AJ47-1</f>
        <v>5.02963096233211E-4</v>
      </c>
      <c r="H32" s="82">
        <f>Daten!AO48/Daten!AO47-1</f>
        <v>-6.042884657664338E-4</v>
      </c>
      <c r="I32" s="82">
        <f>Daten!AU48/Daten!AU47-1</f>
        <v>1.7000000000000348E-4</v>
      </c>
      <c r="J32" s="82">
        <f>Daten!AV48/Daten!AV47-1</f>
        <v>1.5520000000002199E-4</v>
      </c>
      <c r="K32" s="82">
        <f t="shared" si="0"/>
        <v>-1.5796453775940301E-5</v>
      </c>
      <c r="M32" s="96">
        <f>Daten!E48</f>
        <v>45975</v>
      </c>
      <c r="N32" s="93" cm="1">
        <f t="array" ref="N32">PRODUCT(1+$K$2:K32)-1</f>
        <v>2.4832735437394504E-3</v>
      </c>
      <c r="O32" s="93" cm="1">
        <f t="array" ref="O32">PRODUCT(1+$AY$76:AY106)-1</f>
        <v>3.5845886543555139E-3</v>
      </c>
      <c r="P32" s="97">
        <f t="shared" si="1"/>
        <v>-1.1013151106160635E-3</v>
      </c>
    </row>
    <row r="33" spans="1:16" x14ac:dyDescent="0.45">
      <c r="A33" s="82">
        <f>Daten!G49/Daten!G48-1</f>
        <v>2.6032234312367564E-4</v>
      </c>
      <c r="B33" s="82">
        <f>Daten!I49/Daten!I48-1</f>
        <v>-4.4324100313342107E-4</v>
      </c>
      <c r="C33" s="82">
        <f>Daten!L49/Daten!L48-1</f>
        <v>2.5229405060844812E-4</v>
      </c>
      <c r="D33" s="82">
        <f>Daten!R49/Daten!R48-1</f>
        <v>7.8351578063351468E-5</v>
      </c>
      <c r="E33" s="82">
        <f>Daten!AC49/Daten!AC48-1</f>
        <v>-2.5755621657963523E-5</v>
      </c>
      <c r="F33" s="82">
        <f>Daten!AE49/Daten!AE48-1</f>
        <v>-2.2122090618970081E-4</v>
      </c>
      <c r="G33" s="82">
        <f>Daten!AJ49/Daten!AJ48-1</f>
        <v>1.7200000000006099E-4</v>
      </c>
      <c r="H33" s="82">
        <f>Daten!AO49/Daten!AO48-1</f>
        <v>4.1179931261203784E-4</v>
      </c>
      <c r="I33" s="82">
        <f>Daten!AU49/Daten!AU48-1</f>
        <v>7.0567142560040708E-4</v>
      </c>
      <c r="J33" s="82">
        <f>Daten!AV49/Daten!AV48-1</f>
        <v>9.9822622264800209E-4</v>
      </c>
      <c r="K33" s="82">
        <f t="shared" si="0"/>
        <v>2.1884474016748979E-4</v>
      </c>
      <c r="M33" s="96">
        <f>Daten!E49</f>
        <v>45978</v>
      </c>
      <c r="N33" s="93" cm="1">
        <f t="array" ref="N33">PRODUCT(1+$K$2:K33)-1</f>
        <v>2.7026617352603477E-3</v>
      </c>
      <c r="O33" s="93" cm="1">
        <f t="array" ref="O33">PRODUCT(1+$AY$76:AY107)-1</f>
        <v>3.6800932166873856E-3</v>
      </c>
      <c r="P33" s="97">
        <f t="shared" si="1"/>
        <v>-9.7743148142703795E-4</v>
      </c>
    </row>
    <row r="34" spans="1:16" x14ac:dyDescent="0.45">
      <c r="A34" s="83" cm="1">
        <f t="array" ref="A34">PRODUCT(1+A2:A33)-1</f>
        <v>4.9897429602703269E-3</v>
      </c>
      <c r="B34" s="83" cm="1">
        <f t="array" ref="B34">PRODUCT(1+B2:B33)-1</f>
        <v>5.4585558705959603E-3</v>
      </c>
      <c r="C34" s="83" cm="1">
        <f t="array" ref="C34">PRODUCT(1+C2:C33)-1</f>
        <v>3.8123478607758887E-3</v>
      </c>
      <c r="D34" s="83" cm="1">
        <f t="array" ref="D34">PRODUCT(1+D2:D33)-1</f>
        <v>5.551790133628387E-3</v>
      </c>
      <c r="E34" s="83" cm="1">
        <f t="array" ref="E34">PRODUCT(1+E2:E33)-1</f>
        <v>3.1889048514799345E-3</v>
      </c>
      <c r="F34" s="83" cm="1">
        <f t="array" ref="F34">PRODUCT(1+F2:F33)-1</f>
        <v>2.6517724473646975E-3</v>
      </c>
      <c r="G34" s="83" cm="1">
        <f t="array" ref="G34">PRODUCT(1+G2:G33)-1</f>
        <v>-1.344864896019704E-2</v>
      </c>
      <c r="H34" s="83" cm="1">
        <f t="array" ref="H34">PRODUCT(1+H2:H33)-1</f>
        <v>3.3523638041605963E-3</v>
      </c>
      <c r="I34" s="83" cm="1">
        <f t="array" ref="I34">PRODUCT(1+I2:I33)-1</f>
        <v>5.9082414896565183E-3</v>
      </c>
      <c r="J34" s="83" cm="1">
        <f t="array" ref="J34">PRODUCT(1+J2:J33)-1</f>
        <v>5.6360442522385146E-3</v>
      </c>
      <c r="K34" s="83" cm="1">
        <f t="array" ref="K34">PRODUCT(1+K2:K33)-1</f>
        <v>2.7026617352603477E-3</v>
      </c>
    </row>
    <row r="36" spans="1:16" x14ac:dyDescent="0.45">
      <c r="B36" t="s">
        <v>313</v>
      </c>
      <c r="C36" t="s">
        <v>314</v>
      </c>
      <c r="D36" t="s">
        <v>12</v>
      </c>
      <c r="E36" t="s">
        <v>13</v>
      </c>
      <c r="F36" t="s">
        <v>315</v>
      </c>
      <c r="G36" t="s">
        <v>316</v>
      </c>
      <c r="H36" t="s">
        <v>14</v>
      </c>
      <c r="I36" t="s">
        <v>317</v>
      </c>
      <c r="J36" t="s">
        <v>326</v>
      </c>
      <c r="K36" t="s">
        <v>333</v>
      </c>
    </row>
    <row r="37" spans="1:16" x14ac:dyDescent="0.45">
      <c r="A37" t="str" cm="1">
        <f t="array" ref="A37:A47">TRANSPOSE(A1:K1)</f>
        <v>AUSTRALIA AND NEW ZEALAND BANKING MTN</v>
      </c>
      <c r="B37" s="86" cm="1">
        <f t="array" ref="B37:B47">TRANSPOSE(A34:K34)</f>
        <v>4.9897429602703269E-3</v>
      </c>
      <c r="C37" s="85">
        <v>46922</v>
      </c>
      <c r="D37">
        <f>'FIM IA 2'!J25/100</f>
        <v>4.36E-2</v>
      </c>
      <c r="E37" s="20">
        <f>'FIM IA 2'!K25</f>
        <v>3.85E-2</v>
      </c>
      <c r="F37" s="20">
        <f>'FIM IA 2'!M25</f>
        <v>4.1000000000000003E-3</v>
      </c>
      <c r="G37">
        <f>'FIM IA 2'!N25</f>
        <v>2.58</v>
      </c>
      <c r="H37" s="20" t="str">
        <f>'FIM IA 2'!L25</f>
        <v>AA-</v>
      </c>
      <c r="I37">
        <f>(C37-Daten!$E$49)/365</f>
        <v>2.5863013698630137</v>
      </c>
      <c r="J37">
        <f>VLOOKUP(H37,$A$51:$B$72,2,FALSE)</f>
        <v>4</v>
      </c>
      <c r="K37">
        <f>_xlfn.RANK.EQ(B37,$B$37:$B$46)</f>
        <v>5</v>
      </c>
    </row>
    <row r="38" spans="1:16" x14ac:dyDescent="0.45">
      <c r="A38" t="str">
        <v>BAIDU INC</v>
      </c>
      <c r="B38" s="86">
        <v>5.4585558705959603E-3</v>
      </c>
      <c r="C38" s="85">
        <v>47580</v>
      </c>
      <c r="D38">
        <f>'FIM IA 2'!J27/100</f>
        <v>3.4200000000000001E-2</v>
      </c>
      <c r="E38" s="20">
        <f>'FIM IA 2'!K27</f>
        <v>4.1099999999999998E-2</v>
      </c>
      <c r="F38" s="20">
        <f>'FIM IA 2'!M27</f>
        <v>6.3E-3</v>
      </c>
      <c r="G38">
        <f>'FIM IA 2'!N27</f>
        <v>4.13</v>
      </c>
      <c r="H38" s="20" t="str">
        <f>'FIM IA 2'!L27</f>
        <v>A</v>
      </c>
      <c r="I38">
        <f>(C38-Daten!$E$49)/365</f>
        <v>4.3890410958904109</v>
      </c>
      <c r="J38">
        <f t="shared" ref="J38:J46" si="2">VLOOKUP(H38,$A$51:$B$72,2,FALSE)</f>
        <v>6</v>
      </c>
      <c r="K38">
        <f t="shared" ref="K38:K46" si="3">_xlfn.RANK.EQ(B38,$B$37:$B$46)</f>
        <v>4</v>
      </c>
    </row>
    <row r="39" spans="1:16" x14ac:dyDescent="0.45">
      <c r="A39" t="str">
        <v>CITIGROUP INC</v>
      </c>
      <c r="B39" s="86">
        <v>3.8123478607758887E-3</v>
      </c>
      <c r="C39" s="85">
        <v>46959</v>
      </c>
      <c r="D39">
        <f>'FIM IA 2'!J30/100</f>
        <v>4.1299999999999996E-2</v>
      </c>
      <c r="E39" s="20">
        <f>'FIM IA 2'!K30</f>
        <v>4.0999999999999898E-2</v>
      </c>
      <c r="F39" s="20">
        <f>'FIM IA 2'!M30</f>
        <v>6.7000000000000002E-3</v>
      </c>
      <c r="G39">
        <f>'FIM IA 2'!N30</f>
        <v>2.69</v>
      </c>
      <c r="H39" s="20" t="str">
        <f>'FIM IA 2'!L30</f>
        <v>BBB+</v>
      </c>
      <c r="I39">
        <f>(C39-Daten!$E$49)/365</f>
        <v>2.6876712328767125</v>
      </c>
      <c r="J39">
        <f t="shared" si="2"/>
        <v>8</v>
      </c>
      <c r="K39">
        <f t="shared" si="3"/>
        <v>6</v>
      </c>
    </row>
    <row r="40" spans="1:16" x14ac:dyDescent="0.45">
      <c r="A40" t="str">
        <v>GENERAL ELECTRIC CO MTN</v>
      </c>
      <c r="B40" s="86">
        <v>5.551790133628387E-3</v>
      </c>
      <c r="C40" s="85">
        <v>48288</v>
      </c>
      <c r="D40">
        <f>'FIM IA 2'!J36/100</f>
        <v>6.7500000000000004E-2</v>
      </c>
      <c r="E40" s="20">
        <f>'FIM IA 2'!K36</f>
        <v>4.2599999999999999E-2</v>
      </c>
      <c r="F40" s="20">
        <f>'FIM IA 2'!M36</f>
        <v>7.0000000000000001E-3</v>
      </c>
      <c r="G40">
        <f>'FIM IA 2'!N36</f>
        <v>5.21</v>
      </c>
      <c r="H40" s="20" t="str">
        <f>'FIM IA 2'!L36</f>
        <v>A-</v>
      </c>
      <c r="I40">
        <f>(C40-Daten!$E$49)/365</f>
        <v>6.3287671232876717</v>
      </c>
      <c r="J40">
        <f t="shared" si="2"/>
        <v>7</v>
      </c>
      <c r="K40">
        <f t="shared" si="3"/>
        <v>3</v>
      </c>
    </row>
    <row r="41" spans="1:16" x14ac:dyDescent="0.45">
      <c r="A41" t="str">
        <v>LOCKHEED MARTIN CORPORATION</v>
      </c>
      <c r="B41" s="86">
        <v>3.1889048514799345E-3</v>
      </c>
      <c r="C41" s="85">
        <v>48990</v>
      </c>
      <c r="D41">
        <f>'FIM IA 2'!J47/100</f>
        <v>4.7500000000000001E-2</v>
      </c>
      <c r="E41" s="20">
        <f>'FIM IA 2'!K47</f>
        <v>4.5999999999999999E-2</v>
      </c>
      <c r="F41" s="20">
        <f>'FIM IA 2'!M47</f>
        <v>8.6E-3</v>
      </c>
      <c r="G41">
        <f>'FIM IA 2'!N47</f>
        <v>6.89</v>
      </c>
      <c r="H41" s="20" t="str">
        <f>'FIM IA 2'!L47</f>
        <v>A-</v>
      </c>
      <c r="I41">
        <f>(C41-Daten!$E$49)/365</f>
        <v>8.2520547945205482</v>
      </c>
      <c r="J41">
        <f t="shared" si="2"/>
        <v>7</v>
      </c>
      <c r="K41">
        <f t="shared" si="3"/>
        <v>8</v>
      </c>
    </row>
    <row r="42" spans="1:16" x14ac:dyDescent="0.45">
      <c r="A42" t="str">
        <v>METLIFE INC</v>
      </c>
      <c r="B42" s="86">
        <v>2.6517724473646975E-3</v>
      </c>
      <c r="C42" s="85">
        <v>49475</v>
      </c>
      <c r="D42">
        <f>'FIM IA 2'!J49/100</f>
        <v>5.7000000000000002E-2</v>
      </c>
      <c r="E42" s="20">
        <f>'FIM IA 2'!K49</f>
        <v>4.7599999999999899E-2</v>
      </c>
      <c r="F42" s="20">
        <f>'FIM IA 2'!M49</f>
        <v>9.5999999999999992E-3</v>
      </c>
      <c r="G42">
        <f>'FIM IA 2'!N49</f>
        <v>7.45</v>
      </c>
      <c r="H42" s="20" t="str">
        <f>'FIM IA 2'!L49</f>
        <v>A</v>
      </c>
      <c r="I42">
        <f>(C42-Daten!$E$49)/365</f>
        <v>9.580821917808219</v>
      </c>
      <c r="J42">
        <f t="shared" si="2"/>
        <v>6</v>
      </c>
      <c r="K42">
        <f t="shared" si="3"/>
        <v>9</v>
      </c>
    </row>
    <row r="43" spans="1:16" x14ac:dyDescent="0.45">
      <c r="A43" t="str">
        <v>ORACLE CORPORATION</v>
      </c>
      <c r="B43" s="86">
        <v>-1.344864896019704E-2</v>
      </c>
      <c r="C43" s="85">
        <v>49133</v>
      </c>
      <c r="D43">
        <f>'FIM IA 2'!J54/100</f>
        <v>4.2999999999999997E-2</v>
      </c>
      <c r="E43" s="20">
        <f>'FIM IA 2'!K54</f>
        <v>4.8599999999999997E-2</v>
      </c>
      <c r="F43" s="20">
        <f>'FIM IA 2'!M54</f>
        <v>1.09E-2</v>
      </c>
      <c r="G43">
        <f>'FIM IA 2'!N54</f>
        <v>7.19</v>
      </c>
      <c r="H43" s="20" t="str">
        <f>'FIM IA 2'!L54</f>
        <v>BBB</v>
      </c>
      <c r="I43">
        <f>(C43-Daten!$E$49)/365</f>
        <v>8.6438356164383556</v>
      </c>
      <c r="J43">
        <f t="shared" si="2"/>
        <v>9</v>
      </c>
      <c r="K43">
        <f t="shared" si="3"/>
        <v>10</v>
      </c>
    </row>
    <row r="44" spans="1:16" x14ac:dyDescent="0.45">
      <c r="A44" t="str">
        <v>ROYAL BANK OF CANADA MTN</v>
      </c>
      <c r="B44" s="86">
        <v>3.3523638041605963E-3</v>
      </c>
      <c r="C44" s="85">
        <v>48701</v>
      </c>
      <c r="D44">
        <f>'FIM IA 2'!J59/100</f>
        <v>0.05</v>
      </c>
      <c r="E44" s="20">
        <f>'FIM IA 2'!K59</f>
        <v>4.48E-2</v>
      </c>
      <c r="F44" s="20">
        <f>'FIM IA 2'!M59</f>
        <v>8.0999999999999996E-3</v>
      </c>
      <c r="G44">
        <f>'FIM IA 2'!N59</f>
        <v>6.24</v>
      </c>
      <c r="H44" s="20" t="str">
        <f>'FIM IA 2'!L59</f>
        <v>AA-</v>
      </c>
      <c r="I44">
        <f>(C44-Daten!$E$49)/365</f>
        <v>7.4602739726027396</v>
      </c>
      <c r="J44">
        <f t="shared" si="2"/>
        <v>4</v>
      </c>
      <c r="K44">
        <f t="shared" si="3"/>
        <v>7</v>
      </c>
    </row>
    <row r="45" spans="1:16" x14ac:dyDescent="0.45">
      <c r="A45" t="str">
        <v>TREASURY NOTE</v>
      </c>
      <c r="B45" s="86">
        <v>5.9082414896565183E-3</v>
      </c>
      <c r="C45" s="85">
        <v>49444</v>
      </c>
      <c r="D45">
        <f>'FIM IA 2'!J65/100</f>
        <v>4.2500000000000003E-2</v>
      </c>
      <c r="E45" s="20">
        <f>'FIM IA 2'!K65</f>
        <v>4.07E-2</v>
      </c>
      <c r="F45" s="20">
        <f>'FIM IA 2'!M65</f>
        <v>2.3E-3</v>
      </c>
      <c r="G45">
        <f>'FIM IA 2'!N65</f>
        <v>7.8</v>
      </c>
      <c r="H45" s="20" t="str">
        <f>'FIM IA 2'!L65</f>
        <v>AA+</v>
      </c>
      <c r="I45">
        <f>(C45-Daten!$E$49)/365</f>
        <v>9.4958904109589035</v>
      </c>
      <c r="J45">
        <f t="shared" si="2"/>
        <v>2</v>
      </c>
      <c r="K45">
        <f t="shared" si="3"/>
        <v>1</v>
      </c>
    </row>
    <row r="46" spans="1:16" x14ac:dyDescent="0.45">
      <c r="A46" t="str">
        <v>TREASURY NOTE</v>
      </c>
      <c r="B46" s="86">
        <v>5.6360442522385146E-3</v>
      </c>
      <c r="C46" s="85">
        <v>49171</v>
      </c>
      <c r="D46">
        <f>'FIM IA 2'!J66/100</f>
        <v>3.8800000000000001E-2</v>
      </c>
      <c r="E46" s="20">
        <f>'FIM IA 2'!K66</f>
        <v>0.04</v>
      </c>
      <c r="F46" s="20">
        <f>'FIM IA 2'!M66</f>
        <v>2E-3</v>
      </c>
      <c r="G46">
        <f>'FIM IA 2'!N66</f>
        <v>7.47</v>
      </c>
      <c r="H46" s="20" t="str">
        <f>'FIM IA 2'!L66</f>
        <v>AA+</v>
      </c>
      <c r="I46">
        <f>(C46-Daten!$E$49)/365</f>
        <v>8.7479452054794518</v>
      </c>
      <c r="J46">
        <f t="shared" si="2"/>
        <v>2</v>
      </c>
      <c r="K46">
        <f t="shared" si="3"/>
        <v>2</v>
      </c>
    </row>
    <row r="47" spans="1:16" x14ac:dyDescent="0.45">
      <c r="A47" t="str">
        <v>PORTFOLIO</v>
      </c>
      <c r="B47" s="86">
        <v>2.7026617352603477E-3</v>
      </c>
      <c r="E47" s="86">
        <f>AVERAGE(E37:E46)</f>
        <v>4.3089999999999976E-2</v>
      </c>
      <c r="F47" s="20">
        <f>AVERAGE(F37:F46)</f>
        <v>6.559999999999999E-3</v>
      </c>
      <c r="G47">
        <f>AVERAGE(G37:G46)</f>
        <v>5.7649999999999997</v>
      </c>
      <c r="J47">
        <f>ROUND(AVERAGE(J37:J46),0)</f>
        <v>6</v>
      </c>
    </row>
    <row r="50" spans="1:3" x14ac:dyDescent="0.45">
      <c r="A50" t="s">
        <v>14</v>
      </c>
    </row>
    <row r="51" spans="1:3" x14ac:dyDescent="0.45">
      <c r="A51" s="89" t="s">
        <v>318</v>
      </c>
      <c r="B51">
        <v>1</v>
      </c>
      <c r="C51">
        <f>COUNTIF('FIM IA 2'!$L$24:$L$73,'Work with data'!A51)</f>
        <v>0</v>
      </c>
    </row>
    <row r="52" spans="1:3" x14ac:dyDescent="0.45">
      <c r="A52" s="89" t="s">
        <v>31</v>
      </c>
      <c r="B52">
        <v>2</v>
      </c>
      <c r="C52">
        <f>COUNTIF('FIM IA 2'!$L$24:$L$73,'Work with data'!A52)</f>
        <v>8</v>
      </c>
    </row>
    <row r="53" spans="1:3" x14ac:dyDescent="0.45">
      <c r="A53" s="89" t="s">
        <v>145</v>
      </c>
      <c r="B53">
        <v>3</v>
      </c>
      <c r="C53">
        <f>COUNTIF('FIM IA 2'!$L$24:$L$73,'Work with data'!A53)</f>
        <v>1</v>
      </c>
    </row>
    <row r="54" spans="1:3" x14ac:dyDescent="0.45">
      <c r="A54" s="89" t="s">
        <v>42</v>
      </c>
      <c r="B54">
        <v>4</v>
      </c>
      <c r="C54">
        <f>COUNTIF('FIM IA 2'!$L$24:$L$73,'Work with data'!A54)</f>
        <v>5</v>
      </c>
    </row>
    <row r="55" spans="1:3" x14ac:dyDescent="0.45">
      <c r="A55" s="89" t="s">
        <v>220</v>
      </c>
      <c r="B55">
        <v>5</v>
      </c>
      <c r="C55">
        <f>COUNTIF('FIM IA 2'!$L$24:$L$73,'Work with data'!A55)</f>
        <v>2</v>
      </c>
    </row>
    <row r="56" spans="1:3" x14ac:dyDescent="0.45">
      <c r="A56" s="89" t="s">
        <v>56</v>
      </c>
      <c r="B56">
        <v>6</v>
      </c>
      <c r="C56">
        <f>COUNTIF('FIM IA 2'!$L$24:$L$73,'Work with data'!A56)</f>
        <v>2</v>
      </c>
    </row>
    <row r="57" spans="1:3" x14ac:dyDescent="0.45">
      <c r="A57" s="89" t="s">
        <v>62</v>
      </c>
      <c r="B57">
        <v>7</v>
      </c>
      <c r="C57">
        <f>COUNTIF('FIM IA 2'!$L$24:$L$73,'Work with data'!A57)</f>
        <v>7</v>
      </c>
    </row>
    <row r="58" spans="1:3" x14ac:dyDescent="0.45">
      <c r="A58" s="89" t="s">
        <v>74</v>
      </c>
      <c r="B58">
        <v>8</v>
      </c>
      <c r="C58">
        <f>COUNTIF('FIM IA 2'!$L$24:$L$73,'Work with data'!A58)</f>
        <v>5</v>
      </c>
    </row>
    <row r="59" spans="1:3" x14ac:dyDescent="0.45">
      <c r="A59" s="89" t="s">
        <v>79</v>
      </c>
      <c r="B59">
        <v>9</v>
      </c>
      <c r="C59">
        <f>COUNTIF('FIM IA 2'!$L$24:$L$73,'Work with data'!A59)</f>
        <v>10</v>
      </c>
    </row>
    <row r="60" spans="1:3" x14ac:dyDescent="0.45">
      <c r="A60" s="89" t="s">
        <v>68</v>
      </c>
      <c r="B60">
        <v>10</v>
      </c>
      <c r="C60">
        <f>COUNTIF('FIM IA 2'!$L$24:$L$73,'Work with data'!A60)</f>
        <v>4</v>
      </c>
    </row>
    <row r="61" spans="1:3" x14ac:dyDescent="0.45">
      <c r="A61" s="87" t="s">
        <v>181</v>
      </c>
      <c r="B61">
        <v>11</v>
      </c>
      <c r="C61">
        <f>COUNTIF('FIM IA 2'!$L$24:$L$73,'Work with data'!A61)</f>
        <v>1</v>
      </c>
    </row>
    <row r="62" spans="1:3" x14ac:dyDescent="0.45">
      <c r="A62" s="88" t="s">
        <v>319</v>
      </c>
      <c r="B62">
        <v>12</v>
      </c>
      <c r="C62">
        <f>COUNTIF('FIM IA 2'!$L$24:$L$73,'Work with data'!A62)</f>
        <v>0</v>
      </c>
    </row>
    <row r="63" spans="1:3" x14ac:dyDescent="0.45">
      <c r="A63" s="87" t="s">
        <v>231</v>
      </c>
      <c r="B63">
        <v>13</v>
      </c>
      <c r="C63">
        <f>COUNTIF('FIM IA 2'!$L$24:$L$73,'Work with data'!A63)</f>
        <v>1</v>
      </c>
    </row>
    <row r="64" spans="1:3" x14ac:dyDescent="0.45">
      <c r="A64" s="88" t="s">
        <v>49</v>
      </c>
      <c r="B64">
        <v>14</v>
      </c>
      <c r="C64">
        <f>COUNTIF('FIM IA 2'!$L$24:$L$73,'Work with data'!A64)</f>
        <v>2</v>
      </c>
    </row>
    <row r="65" spans="1:51" x14ac:dyDescent="0.45">
      <c r="A65" s="87" t="s">
        <v>320</v>
      </c>
      <c r="B65">
        <v>15</v>
      </c>
      <c r="C65">
        <f>COUNTIF('FIM IA 2'!$L$24:$L$73,'Work with data'!A65)</f>
        <v>0</v>
      </c>
    </row>
    <row r="66" spans="1:51" x14ac:dyDescent="0.45">
      <c r="A66" s="88" t="s">
        <v>91</v>
      </c>
      <c r="B66">
        <v>16</v>
      </c>
      <c r="C66">
        <f>COUNTIF('FIM IA 2'!$L$24:$L$73,'Work with data'!A66)</f>
        <v>2</v>
      </c>
    </row>
    <row r="67" spans="1:51" x14ac:dyDescent="0.45">
      <c r="A67" s="87" t="s">
        <v>321</v>
      </c>
      <c r="B67">
        <v>17</v>
      </c>
      <c r="C67">
        <f>COUNTIF('FIM IA 2'!$L$24:$L$73,'Work with data'!A67)</f>
        <v>0</v>
      </c>
    </row>
    <row r="68" spans="1:51" x14ac:dyDescent="0.45">
      <c r="A68" s="88" t="s">
        <v>322</v>
      </c>
      <c r="B68">
        <v>18</v>
      </c>
      <c r="C68">
        <f>COUNTIF('FIM IA 2'!$L$24:$L$73,'Work with data'!A68)</f>
        <v>0</v>
      </c>
    </row>
    <row r="69" spans="1:51" x14ac:dyDescent="0.45">
      <c r="A69" s="87" t="s">
        <v>323</v>
      </c>
      <c r="B69">
        <v>19</v>
      </c>
      <c r="C69">
        <f>COUNTIF('FIM IA 2'!$L$24:$L$73,'Work with data'!A69)</f>
        <v>0</v>
      </c>
    </row>
    <row r="70" spans="1:51" x14ac:dyDescent="0.45">
      <c r="A70" s="88" t="s">
        <v>324</v>
      </c>
      <c r="B70">
        <v>20</v>
      </c>
      <c r="C70">
        <f>COUNTIF('FIM IA 2'!$L$24:$L$73,'Work with data'!A70)</f>
        <v>0</v>
      </c>
    </row>
    <row r="71" spans="1:51" x14ac:dyDescent="0.45">
      <c r="A71" s="87" t="s">
        <v>72</v>
      </c>
      <c r="B71">
        <v>21</v>
      </c>
      <c r="C71">
        <f>COUNTIF('FIM IA 2'!$L$24:$L$73,'Work with data'!A71)</f>
        <v>0</v>
      </c>
    </row>
    <row r="72" spans="1:51" x14ac:dyDescent="0.45">
      <c r="A72" s="88" t="s">
        <v>325</v>
      </c>
      <c r="B72">
        <v>22</v>
      </c>
      <c r="C72">
        <f>COUNTIF('FIM IA 2'!$L$24:$L$73,'Work with data'!A72)</f>
        <v>0</v>
      </c>
    </row>
    <row r="73" spans="1:51" x14ac:dyDescent="0.45">
      <c r="C73">
        <f>SUM(C51:C72)</f>
        <v>50</v>
      </c>
    </row>
    <row r="75" spans="1:51" x14ac:dyDescent="0.45">
      <c r="A75" s="82" t="str">
        <f>Daten!F16</f>
        <v>APPLE INC</v>
      </c>
      <c r="B75" s="82" t="str">
        <f>Daten!G16</f>
        <v>AUSTRALIA AND NEW ZEALAND BANKING MTN</v>
      </c>
      <c r="C75" s="82" t="str">
        <f>Daten!H16</f>
        <v>BAHRAIN (KINGDOM OF) MTN RegS</v>
      </c>
      <c r="D75" s="82" t="str">
        <f>Daten!I16</f>
        <v>BAIDU INC</v>
      </c>
      <c r="E75" s="82" t="str">
        <f>Daten!J16</f>
        <v>BANK OF AMERICA CORP MTN</v>
      </c>
      <c r="F75" s="82" t="str">
        <f>Daten!K16</f>
        <v>BOEING CO</v>
      </c>
      <c r="G75" s="82" t="str">
        <f>Daten!L16</f>
        <v>CITIGROUP INC</v>
      </c>
      <c r="H75" s="82" t="str">
        <f>Daten!M16</f>
        <v>CVS HEALTH CORP</v>
      </c>
      <c r="I75" s="82" t="str">
        <f>Daten!N16</f>
        <v>DELTA AIR LINES INC</v>
      </c>
      <c r="J75" s="82" t="str">
        <f>Daten!O16</f>
        <v>EGYPT (ARAB REPUBLIC OF) MTN RegS</v>
      </c>
      <c r="K75" s="82" t="str">
        <f>Daten!P16</f>
        <v>FIRST ABU DHABI BANK PJSC MTN RegS</v>
      </c>
      <c r="L75" s="82" t="str">
        <f>Daten!Q16</f>
        <v>FORD MOTOR COMPANY</v>
      </c>
      <c r="M75" s="82" t="str">
        <f>Daten!R16</f>
        <v>GENERAL ELECTRIC CO MTN</v>
      </c>
      <c r="N75" s="82" t="str">
        <f>Daten!S16</f>
        <v>GENERAL MOTORS CO</v>
      </c>
      <c r="O75" s="82" t="str">
        <f>Daten!T16</f>
        <v>HEWLETT PACKARD ENTERPRISE CO</v>
      </c>
      <c r="P75" s="82" t="str">
        <f>Daten!U16</f>
        <v>HONDA MOTOR CO LTD</v>
      </c>
      <c r="Q75" s="82" t="str">
        <f>Daten!V16</f>
        <v>HSBC HOLDINGS PLC</v>
      </c>
      <c r="R75" s="82" t="str">
        <f>Daten!W16</f>
        <v>INDONESIA (REPUBLIC OF)</v>
      </c>
      <c r="S75" s="82" t="str">
        <f>Daten!X16</f>
        <v>ING GROEP NV</v>
      </c>
      <c r="T75" s="82" t="str">
        <f>Daten!Y16</f>
        <v>INTEL CORPORATION</v>
      </c>
      <c r="U75" s="82" t="str">
        <f>Daten!Z16</f>
        <v>KOREA DEVELOPMENT BANK</v>
      </c>
      <c r="V75" s="82" t="str">
        <f>Daten!AA16</f>
        <v>LENOVO GROUP LTD RegS</v>
      </c>
      <c r="W75" s="82" t="str">
        <f>Daten!AB16</f>
        <v>LLOYDS BANKING GROUP PLC</v>
      </c>
      <c r="X75" s="82" t="str">
        <f>Daten!AC16</f>
        <v>LOCKHEED MARTIN CORPORATION</v>
      </c>
      <c r="Y75" s="82" t="str">
        <f>Daten!AD16</f>
        <v>META PLATFORMS INC</v>
      </c>
      <c r="Z75" s="82" t="str">
        <f>Daten!AE16</f>
        <v>METLIFE INC</v>
      </c>
      <c r="AA75" s="82" t="str">
        <f>Daten!AF16</f>
        <v>MEXICO (UNITED MEXICAN STATES) (GO</v>
      </c>
      <c r="AB75" s="82" t="str">
        <f>Daten!AG16</f>
        <v>MITSUBISHI UFJ FINANCIAL GROUP INC</v>
      </c>
      <c r="AC75" s="82" t="str">
        <f>Daten!AH16</f>
        <v>OCCIDENTAL PETROLEUM CORPORATION</v>
      </c>
      <c r="AD75" s="82" t="str">
        <f>Daten!AI16</f>
        <v>OIL INDIA LTD RegS</v>
      </c>
      <c r="AE75" s="82" t="str">
        <f>Daten!AJ16</f>
        <v>ORACLE CORPORATION</v>
      </c>
      <c r="AF75" s="82" t="str">
        <f>Daten!AK16</f>
        <v>PAKISTAN (ISLAMIC REPUBLIC OF) RegS</v>
      </c>
      <c r="AG75" s="82" t="str">
        <f>Daten!AL16</f>
        <v>PETROLEOS MEXICANOS</v>
      </c>
      <c r="AH75" s="82" t="str">
        <f>Daten!AM16</f>
        <v>PHILIPPINES (REPUBLIC OF)</v>
      </c>
      <c r="AI75" s="82" t="str">
        <f>Daten!AN16</f>
        <v>PHILLIPS 66 CO</v>
      </c>
      <c r="AJ75" s="82" t="str">
        <f>Daten!AO16</f>
        <v>ROYAL BANK OF CANADA MTN</v>
      </c>
      <c r="AK75" s="82" t="str">
        <f>Daten!AP16</f>
        <v>SAUDI ARABIAN OIL CO MTN RegS</v>
      </c>
      <c r="AL75" s="82" t="str">
        <f>Daten!AQ16</f>
        <v>SENEGAL (REPUBLIC OF) RegS</v>
      </c>
      <c r="AM75" s="82" t="str">
        <f>Daten!AR16</f>
        <v>SOUTH AFRICA (REPUBLIC OF)</v>
      </c>
      <c r="AN75" s="82" t="str">
        <f>Daten!AS16</f>
        <v>STANDARD CHARTERED PLC RegS</v>
      </c>
      <c r="AO75" s="82" t="str">
        <f>Daten!AT16</f>
        <v>TENCENT HOLDINGS LTD MTN RegS</v>
      </c>
      <c r="AP75" s="82" t="str">
        <f>Daten!AU16</f>
        <v>TREASURY NOTE</v>
      </c>
      <c r="AQ75" s="82" t="str">
        <f>Daten!AV16</f>
        <v>TREASURY NOTE</v>
      </c>
      <c r="AR75" s="82" t="str">
        <f>Daten!AW16</f>
        <v>TREASURY NOTE</v>
      </c>
      <c r="AS75" s="82" t="str">
        <f>Daten!AX16</f>
        <v>TREASURY NOTE</v>
      </c>
      <c r="AT75" s="82" t="str">
        <f>Daten!AY16</f>
        <v>TREASURY NOTE</v>
      </c>
      <c r="AU75" s="82" t="str">
        <f>Daten!AZ16</f>
        <v>TREASURY NOTE</v>
      </c>
      <c r="AV75" s="82" t="str">
        <f>Daten!BA16</f>
        <v>TREASURY NOTE</v>
      </c>
      <c r="AW75" s="82" t="str">
        <f>Daten!BB16</f>
        <v>UBER TECHNOLOGIES INC</v>
      </c>
      <c r="AX75" s="82" t="str">
        <f>Daten!BC16</f>
        <v>WESTPAC BANKING CORP</v>
      </c>
      <c r="AY75" s="82" t="s">
        <v>327</v>
      </c>
    </row>
    <row r="76" spans="1:51" x14ac:dyDescent="0.45">
      <c r="A76" s="82">
        <f>Daten!F18/Daten!F17-1</f>
        <v>7.1956139924278517E-5</v>
      </c>
      <c r="B76" s="82">
        <f>Daten!G18/Daten!G17-1</f>
        <v>1.7439999999990796E-4</v>
      </c>
      <c r="C76" s="82">
        <f>Daten!H18/Daten!H17-1</f>
        <v>4.8448029540471005E-4</v>
      </c>
      <c r="D76" s="82">
        <f>Daten!I18/Daten!I17-1</f>
        <v>6.7357355508002037E-4</v>
      </c>
      <c r="E76" s="82">
        <f>Daten!J18/Daten!J17-1</f>
        <v>1.6719999999992297E-4</v>
      </c>
      <c r="F76" s="82">
        <f>Daten!K18/Daten!K17-1</f>
        <v>1.1170040143955173E-3</v>
      </c>
      <c r="G76" s="82">
        <f>Daten!L18/Daten!L17-1</f>
        <v>6.422799202421281E-4</v>
      </c>
      <c r="H76" s="82">
        <f>Daten!M18/Daten!M17-1</f>
        <v>4.2555102066543782E-4</v>
      </c>
      <c r="I76" s="82">
        <f>Daten!N18/Daten!N17-1</f>
        <v>-3.0154664743986537E-4</v>
      </c>
      <c r="J76" s="82">
        <f>Daten!O18/Daten!O17-1</f>
        <v>2.5257251906145584E-3</v>
      </c>
      <c r="K76" s="82">
        <f>Daten!P18/Daten!P17-1</f>
        <v>2.0519999999990546E-4</v>
      </c>
      <c r="L76" s="82">
        <f>Daten!Q18/Daten!Q17-1</f>
        <v>1.1199582173488931E-3</v>
      </c>
      <c r="M76" s="82">
        <f>Daten!R18/Daten!R17-1</f>
        <v>8.4061430085435873E-4</v>
      </c>
      <c r="N76" s="82">
        <f>Daten!S18/Daten!S17-1</f>
        <v>5.0991032912950374E-4</v>
      </c>
      <c r="O76" s="82">
        <f>Daten!T18/Daten!T17-1</f>
        <v>2.682379831870918E-4</v>
      </c>
      <c r="P76" s="82">
        <f>Daten!U18/Daten!U17-1</f>
        <v>1.0191447378242735E-3</v>
      </c>
      <c r="Q76" s="82">
        <f>Daten!V18/Daten!V17-1</f>
        <v>1.0514104971499627E-3</v>
      </c>
      <c r="R76" s="82">
        <f>Daten!W18/Daten!W17-1</f>
        <v>9.1447759735019396E-4</v>
      </c>
      <c r="S76" s="82">
        <f>Daten!X18/Daten!X17-1</f>
        <v>1.2220711521868655E-3</v>
      </c>
      <c r="T76" s="82">
        <f>Daten!Y18/Daten!Y17-1</f>
        <v>3.7734860105520518E-4</v>
      </c>
      <c r="U76" s="82">
        <f>Daten!Z18/Daten!Z17-1</f>
        <v>1.8519999999999648E-4</v>
      </c>
      <c r="V76" s="82">
        <f>Daten!AA18/Daten!AA17-1</f>
        <v>8.215041776871157E-4</v>
      </c>
      <c r="W76" s="82">
        <f>Daten!AB18/Daten!AB17-1</f>
        <v>1.4280000000010951E-4</v>
      </c>
      <c r="X76" s="82">
        <f>Daten!AC18/Daten!AC17-1</f>
        <v>8.3266940436299564E-4</v>
      </c>
      <c r="Y76" s="82">
        <f>Daten!AD18/Daten!AD17-1</f>
        <v>5.9888272882679949E-4</v>
      </c>
      <c r="Z76" s="82">
        <f>Daten!AE18/Daten!AE17-1</f>
        <v>9.5505566406339781E-4</v>
      </c>
      <c r="AA76" s="82">
        <f>Daten!AF18/Daten!AF17-1</f>
        <v>1.2999999999996348E-4</v>
      </c>
      <c r="AB76" s="82">
        <f>Daten!AG18/Daten!AG17-1</f>
        <v>1.0493578362693601E-3</v>
      </c>
      <c r="AC76" s="82">
        <f>Daten!AH18/Daten!AH17-1</f>
        <v>1.4769599432356006E-3</v>
      </c>
      <c r="AD76" s="82">
        <f>Daten!AI18/Daten!AI17-1</f>
        <v>8.0205125194909854E-4</v>
      </c>
      <c r="AE76" s="82">
        <f>Daten!AJ18/Daten!AJ17-1</f>
        <v>8.500555349304495E-4</v>
      </c>
      <c r="AF76" s="82">
        <f>Daten!AK18/Daten!AK17-1</f>
        <v>5.7563071414801215E-5</v>
      </c>
      <c r="AG76" s="82">
        <f>Daten!AL18/Daten!AL17-1</f>
        <v>-7.7996515633371732E-4</v>
      </c>
      <c r="AH76" s="82">
        <f>Daten!AM18/Daten!AM17-1</f>
        <v>2.5520000000001097E-4</v>
      </c>
      <c r="AI76" s="82">
        <f>Daten!AN18/Daten!AN17-1</f>
        <v>9.8357962071826677E-4</v>
      </c>
      <c r="AJ76" s="82">
        <f>Daten!AO18/Daten!AO17-1</f>
        <v>8.7234766311561351E-4</v>
      </c>
      <c r="AK76" s="82">
        <f>Daten!AP18/Daten!AP17-1</f>
        <v>4.2653196717123976E-4</v>
      </c>
      <c r="AL76" s="82">
        <f>Daten!AQ18/Daten!AQ17-1</f>
        <v>1.1403956213264621E-2</v>
      </c>
      <c r="AM76" s="82">
        <f>Daten!AR18/Daten!AR17-1</f>
        <v>1.0071268028364333E-3</v>
      </c>
      <c r="AN76" s="82">
        <f>Daten!AS18/Daten!AS17-1</f>
        <v>3.2100314577321321E-4</v>
      </c>
      <c r="AO76" s="82">
        <f>Daten!AT18/Daten!AT17-1</f>
        <v>3.6277713520083132E-4</v>
      </c>
      <c r="AP76" s="82">
        <f>Daten!AU18/Daten!AU17-1</f>
        <v>1.7000000000000348E-4</v>
      </c>
      <c r="AQ76" s="82">
        <f>Daten!AV18/Daten!AV17-1</f>
        <v>1.5520000000002199E-4</v>
      </c>
      <c r="AR76" s="82">
        <f>Daten!AW18/Daten!AW17-1</f>
        <v>1.5520000000002199E-4</v>
      </c>
      <c r="AS76" s="82">
        <f>Daten!AX18/Daten!AX17-1</f>
        <v>5.0000000000105516E-5</v>
      </c>
      <c r="AT76" s="82">
        <f>Daten!AY18/Daten!AY17-1</f>
        <v>1.7000000000000348E-4</v>
      </c>
      <c r="AU76" s="82">
        <f>Daten!AZ18/Daten!AZ17-1</f>
        <v>1.9520000000006199E-4</v>
      </c>
      <c r="AV76" s="82">
        <f>Daten!BA18/Daten!BA17-1</f>
        <v>1.1519999999998198E-4</v>
      </c>
      <c r="AW76" s="82">
        <f>Daten!BB18/Daten!BB17-1</f>
        <v>1.0127686489449506E-3</v>
      </c>
      <c r="AX76" s="82">
        <f>Daten!BC18/Daten!BC17-1</f>
        <v>3.1979201573717475E-5</v>
      </c>
      <c r="AY76" s="82">
        <f>AVERAGE(B76:AX76)</f>
        <v>7.8055603306231955E-4</v>
      </c>
    </row>
    <row r="77" spans="1:51" x14ac:dyDescent="0.45">
      <c r="A77" s="82">
        <f>Daten!F19/Daten!F18-1</f>
        <v>-6.0220120860932091E-5</v>
      </c>
      <c r="B77" s="82">
        <f>Daten!G19/Daten!G18-1</f>
        <v>-1.6891581384959053E-4</v>
      </c>
      <c r="C77" s="82">
        <f>Daten!H19/Daten!H18-1</f>
        <v>9.5579201573769978E-5</v>
      </c>
      <c r="D77" s="82">
        <f>Daten!I19/Daten!I18-1</f>
        <v>-3.1046521141953054E-4</v>
      </c>
      <c r="E77" s="82">
        <f>Daten!J19/Daten!J18-1</f>
        <v>8.0479855561810254E-5</v>
      </c>
      <c r="F77" s="82">
        <f>Daten!K19/Daten!K18-1</f>
        <v>-1.1263898899410707E-3</v>
      </c>
      <c r="G77" s="82">
        <f>Daten!L19/Daten!L18-1</f>
        <v>-3.5527682079306011E-4</v>
      </c>
      <c r="H77" s="82">
        <f>Daten!M19/Daten!M18-1</f>
        <v>-3.7099784439764694E-4</v>
      </c>
      <c r="I77" s="82">
        <f>Daten!N19/Daten!N18-1</f>
        <v>1.707744860190985E-6</v>
      </c>
      <c r="J77" s="82">
        <f>Daten!O19/Daten!O18-1</f>
        <v>1.2655786170241434E-3</v>
      </c>
      <c r="K77" s="82">
        <f>Daten!P19/Daten!P18-1</f>
        <v>6.3118775549098061E-4</v>
      </c>
      <c r="L77" s="82">
        <f>Daten!Q19/Daten!Q18-1</f>
        <v>-4.6370410053142574E-4</v>
      </c>
      <c r="M77" s="82">
        <f>Daten!R19/Daten!R18-1</f>
        <v>-7.9575386465979836E-4</v>
      </c>
      <c r="N77" s="82">
        <f>Daten!S19/Daten!S18-1</f>
        <v>-4.5608754204728985E-4</v>
      </c>
      <c r="O77" s="82">
        <f>Daten!T19/Daten!T18-1</f>
        <v>-2.0620584966835054E-4</v>
      </c>
      <c r="P77" s="82">
        <f>Daten!U19/Daten!U18-1</f>
        <v>2.9830733046209978E-4</v>
      </c>
      <c r="Q77" s="82">
        <f>Daten!V19/Daten!V18-1</f>
        <v>-3.0110075695577443E-4</v>
      </c>
      <c r="R77" s="82">
        <f>Daten!W19/Daten!W18-1</f>
        <v>2.2504846927273725E-4</v>
      </c>
      <c r="S77" s="82">
        <f>Daten!X19/Daten!X18-1</f>
        <v>-7.3792210318546214E-4</v>
      </c>
      <c r="T77" s="82">
        <f>Daten!Y19/Daten!Y18-1</f>
        <v>2.0799999999998597E-4</v>
      </c>
      <c r="U77" s="82">
        <f>Daten!Z19/Daten!Z18-1</f>
        <v>7.1902779698840291E-4</v>
      </c>
      <c r="V77" s="82">
        <f>Daten!AA19/Daten!AA18-1</f>
        <v>-6.085247274389971E-5</v>
      </c>
      <c r="W77" s="82">
        <f>Daten!AB19/Daten!AB18-1</f>
        <v>1.0949222717604457E-5</v>
      </c>
      <c r="X77" s="82">
        <f>Daten!AC19/Daten!AC18-1</f>
        <v>-5.8131748683531992E-4</v>
      </c>
      <c r="Y77" s="82">
        <f>Daten!AD19/Daten!AD18-1</f>
        <v>-5.1349510845266622E-4</v>
      </c>
      <c r="Z77" s="82">
        <f>Daten!AE19/Daten!AE18-1</f>
        <v>-9.0350203516698091E-4</v>
      </c>
      <c r="AA77" s="82">
        <f>Daten!AF19/Daten!AF18-1</f>
        <v>6.1939748275308126E-4</v>
      </c>
      <c r="AB77" s="82">
        <f>Daten!AG19/Daten!AG18-1</f>
        <v>-7.2357664876965266E-4</v>
      </c>
      <c r="AC77" s="82">
        <f>Daten!AH19/Daten!AH18-1</f>
        <v>8.6981443971523298E-4</v>
      </c>
      <c r="AD77" s="82">
        <f>Daten!AI19/Daten!AI18-1</f>
        <v>-3.9165125194928763E-4</v>
      </c>
      <c r="AE77" s="82">
        <f>Daten!AJ19/Daten!AJ18-1</f>
        <v>-1.5478011544979298E-3</v>
      </c>
      <c r="AF77" s="82">
        <f>Daten!AK19/Daten!AK18-1</f>
        <v>9.2778386719638561E-4</v>
      </c>
      <c r="AG77" s="82">
        <f>Daten!AL19/Daten!AL18-1</f>
        <v>4.4420302091916497E-3</v>
      </c>
      <c r="AH77" s="82">
        <f>Daten!AM19/Daten!AM18-1</f>
        <v>7.3099816530253214E-4</v>
      </c>
      <c r="AI77" s="82">
        <f>Daten!AN19/Daten!AN18-1</f>
        <v>-9.8090295196784361E-4</v>
      </c>
      <c r="AJ77" s="82">
        <f>Daten!AO19/Daten!AO18-1</f>
        <v>-6.8266995009880205E-4</v>
      </c>
      <c r="AK77" s="82">
        <f>Daten!AP19/Daten!AP18-1</f>
        <v>4.2627139264483915E-4</v>
      </c>
      <c r="AL77" s="82">
        <f>Daten!AQ19/Daten!AQ18-1</f>
        <v>3.3598704175421545E-3</v>
      </c>
      <c r="AM77" s="82">
        <f>Daten!AR19/Daten!AR18-1</f>
        <v>6.2064949397999669E-4</v>
      </c>
      <c r="AN77" s="82">
        <f>Daten!AS19/Daten!AS18-1</f>
        <v>-5.6424859833037466E-4</v>
      </c>
      <c r="AO77" s="82">
        <f>Daten!AT19/Daten!AT18-1</f>
        <v>4.0638716853114154E-4</v>
      </c>
      <c r="AP77" s="82">
        <f>Daten!AU19/Daten!AU18-1</f>
        <v>5.0857104181645241E-4</v>
      </c>
      <c r="AQ77" s="82">
        <f>Daten!AV19/Daten!AV18-1</f>
        <v>4.9774164950577848E-4</v>
      </c>
      <c r="AR77" s="82">
        <f>Daten!AW19/Daten!AW18-1</f>
        <v>4.9532381340489096E-4</v>
      </c>
      <c r="AS77" s="82">
        <f>Daten!AX19/Daten!AX18-1</f>
        <v>1.126095693597895E-3</v>
      </c>
      <c r="AT77" s="82">
        <f>Daten!AY19/Daten!AY18-1</f>
        <v>5.5296653285852315E-5</v>
      </c>
      <c r="AU77" s="82">
        <f>Daten!AZ19/Daten!AZ18-1</f>
        <v>7.354845442679725E-4</v>
      </c>
      <c r="AV77" s="82">
        <f>Daten!BA19/Daten!BA18-1</f>
        <v>-1.7490035222111899E-5</v>
      </c>
      <c r="AW77" s="82">
        <f>Daten!BB19/Daten!BB18-1</f>
        <v>-3.6941093332210073E-4</v>
      </c>
      <c r="AX77" s="82">
        <f>Daten!BC19/Daten!BC18-1</f>
        <v>-5.4520672239766199E-5</v>
      </c>
      <c r="AY77" s="82">
        <f t="shared" ref="AY77:AY107" si="4">AVERAGE(B77:AX77)</f>
        <v>1.3619026387024175E-4</v>
      </c>
    </row>
    <row r="78" spans="1:51" x14ac:dyDescent="0.45">
      <c r="A78" s="82">
        <f>Daten!F20/Daten!F19-1</f>
        <v>2.7863118539972476E-5</v>
      </c>
      <c r="B78" s="82">
        <f>Daten!G20/Daten!G19-1</f>
        <v>-4.0310283655031753E-5</v>
      </c>
      <c r="C78" s="82">
        <f>Daten!H20/Daten!H19-1</f>
        <v>-6.3992873608964551E-4</v>
      </c>
      <c r="D78" s="82">
        <f>Daten!I20/Daten!I19-1</f>
        <v>-3.5572433764108347E-4</v>
      </c>
      <c r="E78" s="82">
        <f>Daten!J20/Daten!J19-1</f>
        <v>-9.3064379684815179E-5</v>
      </c>
      <c r="F78" s="82">
        <f>Daten!K20/Daten!K19-1</f>
        <v>-1.1306294114670212E-3</v>
      </c>
      <c r="G78" s="82">
        <f>Daten!L20/Daten!L19-1</f>
        <v>-1.3869978481251266E-4</v>
      </c>
      <c r="H78" s="82">
        <f>Daten!M20/Daten!M19-1</f>
        <v>-1.6177514943094273E-4</v>
      </c>
      <c r="I78" s="82">
        <f>Daten!N20/Daten!N19-1</f>
        <v>3.4869225513989299E-4</v>
      </c>
      <c r="J78" s="82">
        <f>Daten!O20/Daten!O19-1</f>
        <v>5.498625590074635E-4</v>
      </c>
      <c r="K78" s="82">
        <f>Daten!P20/Daten!P19-1</f>
        <v>-3.4866560356716647E-4</v>
      </c>
      <c r="L78" s="82">
        <f>Daten!Q20/Daten!Q19-1</f>
        <v>1.2999999999996348E-4</v>
      </c>
      <c r="M78" s="82">
        <f>Daten!R20/Daten!R19-1</f>
        <v>-1.257056713619642E-3</v>
      </c>
      <c r="N78" s="82">
        <f>Daten!S20/Daten!S19-1</f>
        <v>1.3191587933025772E-4</v>
      </c>
      <c r="O78" s="82">
        <f>Daten!T20/Daten!T19-1</f>
        <v>-1.6336342329237308E-4</v>
      </c>
      <c r="P78" s="82">
        <f>Daten!U20/Daten!U19-1</f>
        <v>-8.4643099222481144E-4</v>
      </c>
      <c r="Q78" s="82">
        <f>Daten!V20/Daten!V19-1</f>
        <v>-1.0002089431486727E-3</v>
      </c>
      <c r="R78" s="82">
        <f>Daten!W20/Daten!W19-1</f>
        <v>1.3895153072707167E-4</v>
      </c>
      <c r="S78" s="82">
        <f>Daten!X20/Daten!X19-1</f>
        <v>-1.2005240103645232E-3</v>
      </c>
      <c r="T78" s="82">
        <f>Daten!Y20/Daten!Y19-1</f>
        <v>-8.0908356064957054E-4</v>
      </c>
      <c r="U78" s="82">
        <f>Daten!Z20/Daten!Z19-1</f>
        <v>-5.3873722089758935E-5</v>
      </c>
      <c r="V78" s="82">
        <f>Daten!AA20/Daten!AA19-1</f>
        <v>5.2725247274398868E-4</v>
      </c>
      <c r="W78" s="82">
        <f>Daten!AB20/Daten!AB19-1</f>
        <v>-7.7040289130247963E-5</v>
      </c>
      <c r="X78" s="82">
        <f>Daten!AC20/Daten!AC19-1</f>
        <v>-1.0125566913545825E-3</v>
      </c>
      <c r="Y78" s="82">
        <f>Daten!AD20/Daten!AD19-1</f>
        <v>-5.1452260402218286E-4</v>
      </c>
      <c r="Z78" s="82">
        <f>Daten!AE20/Daten!AE19-1</f>
        <v>-8.2532668513923824E-4</v>
      </c>
      <c r="AA78" s="82">
        <f>Daten!AF20/Daten!AF19-1</f>
        <v>6.5998034109338022E-5</v>
      </c>
      <c r="AB78" s="82">
        <f>Daten!AG20/Daten!AG19-1</f>
        <v>-5.6020665012668225E-4</v>
      </c>
      <c r="AC78" s="82">
        <f>Daten!AH20/Daten!AH19-1</f>
        <v>-5.0078721701196649E-4</v>
      </c>
      <c r="AD78" s="82">
        <f>Daten!AI20/Daten!AI19-1</f>
        <v>-2.2162507799527997E-4</v>
      </c>
      <c r="AE78" s="82">
        <f>Daten!AJ20/Daten!AJ19-1</f>
        <v>-1.0086423550440538E-3</v>
      </c>
      <c r="AF78" s="82">
        <f>Daten!AK20/Daten!AK19-1</f>
        <v>-1.5974693861120492E-4</v>
      </c>
      <c r="AG78" s="82">
        <f>Daten!AL20/Daten!AL19-1</f>
        <v>-7.7241647991554974E-4</v>
      </c>
      <c r="AH78" s="82">
        <f>Daten!AM20/Daten!AM19-1</f>
        <v>-4.7821461488273265E-4</v>
      </c>
      <c r="AI78" s="82">
        <f>Daten!AN20/Daten!AN19-1</f>
        <v>-7.6495933444276076E-4</v>
      </c>
      <c r="AJ78" s="82">
        <f>Daten!AO20/Daten!AO19-1</f>
        <v>-8.9532083760279768E-4</v>
      </c>
      <c r="AK78" s="82">
        <f>Daten!AP20/Daten!AP19-1</f>
        <v>-7.752244891949811E-4</v>
      </c>
      <c r="AL78" s="82">
        <f>Daten!AQ20/Daten!AQ19-1</f>
        <v>1.0094094698109846E-3</v>
      </c>
      <c r="AM78" s="82">
        <f>Daten!AR20/Daten!AR19-1</f>
        <v>-4.931586960850165E-4</v>
      </c>
      <c r="AN78" s="82">
        <f>Daten!AS20/Daten!AS19-1</f>
        <v>-2.4315053125456565E-4</v>
      </c>
      <c r="AO78" s="82">
        <f>Daten!AT20/Daten!AT19-1</f>
        <v>1.002798125262494E-4</v>
      </c>
      <c r="AP78" s="82">
        <f>Daten!AU20/Daten!AU19-1</f>
        <v>-2.0117630442901824E-3</v>
      </c>
      <c r="AQ78" s="82">
        <f>Daten!AV20/Daten!AV19-1</f>
        <v>-1.8203191713873634E-3</v>
      </c>
      <c r="AR78" s="82">
        <f>Daten!AW20/Daten!AW19-1</f>
        <v>-1.635617558910174E-3</v>
      </c>
      <c r="AS78" s="82">
        <f>Daten!AX20/Daten!AX19-1</f>
        <v>-1.2817473365543952E-3</v>
      </c>
      <c r="AT78" s="82">
        <f>Daten!AY20/Daten!AY19-1</f>
        <v>-5.6141486299965404E-4</v>
      </c>
      <c r="AU78" s="82">
        <f>Daten!AZ20/Daten!AZ19-1</f>
        <v>-3.7861270694061755E-4</v>
      </c>
      <c r="AV78" s="82">
        <f>Daten!BA20/Daten!BA19-1</f>
        <v>-2.8311352401033663E-4</v>
      </c>
      <c r="AW78" s="82">
        <f>Daten!BB20/Daten!BB19-1</f>
        <v>-9.3300377041416471E-4</v>
      </c>
      <c r="AX78" s="82">
        <f>Daten!BC20/Daten!BC19-1</f>
        <v>3.1875954060067713E-5</v>
      </c>
      <c r="AY78" s="82">
        <f t="shared" si="4"/>
        <v>-4.7782841942046989E-4</v>
      </c>
    </row>
    <row r="79" spans="1:51" x14ac:dyDescent="0.45">
      <c r="A79" s="82">
        <f>Daten!F21/Daten!F20-1</f>
        <v>3.3630867509581996E-4</v>
      </c>
      <c r="B79" s="82">
        <f>Daten!G21/Daten!G20-1</f>
        <v>8.1821266210990728E-4</v>
      </c>
      <c r="C79" s="82">
        <f>Daten!H21/Daten!H20-1</f>
        <v>5.714583256200001E-4</v>
      </c>
      <c r="D79" s="82">
        <f>Daten!I21/Daten!I20-1</f>
        <v>4.950549033042595E-4</v>
      </c>
      <c r="E79" s="82">
        <f>Daten!J21/Daten!J20-1</f>
        <v>3.4072691546538358E-4</v>
      </c>
      <c r="F79" s="82">
        <f>Daten!K21/Daten!K20-1</f>
        <v>8.2349872741471764E-4</v>
      </c>
      <c r="G79" s="82">
        <f>Daten!L21/Daten!L20-1</f>
        <v>4.6909978481246561E-4</v>
      </c>
      <c r="H79" s="82">
        <f>Daten!M21/Daten!M20-1</f>
        <v>6.35729888574188E-4</v>
      </c>
      <c r="I79" s="82">
        <f>Daten!N21/Daten!N20-1</f>
        <v>-1.7185384478257681E-4</v>
      </c>
      <c r="J79" s="82">
        <f>Daten!O21/Daten!O20-1</f>
        <v>-8.7993283237119968E-4</v>
      </c>
      <c r="K79" s="82">
        <f>Daten!P21/Daten!P20-1</f>
        <v>7.7284487248530098E-5</v>
      </c>
      <c r="L79" s="82">
        <f>Daten!Q21/Daten!Q20-1</f>
        <v>-6.8081865191360613E-5</v>
      </c>
      <c r="M79" s="82">
        <f>Daten!R21/Daten!R20-1</f>
        <v>1.1487135686334415E-3</v>
      </c>
      <c r="N79" s="82">
        <f>Daten!S21/Daten!S20-1</f>
        <v>7.6225601171486801E-4</v>
      </c>
      <c r="O79" s="82">
        <f>Daten!T21/Daten!T20-1</f>
        <v>4.410483118280073E-4</v>
      </c>
      <c r="P79" s="82">
        <f>Daten!U21/Daten!U20-1</f>
        <v>1.5699766072057031E-3</v>
      </c>
      <c r="Q79" s="82">
        <f>Daten!V21/Daten!V20-1</f>
        <v>7.6581289460397883E-4</v>
      </c>
      <c r="R79" s="82">
        <f>Daten!W21/Daten!W20-1</f>
        <v>1.8199999999990446E-4</v>
      </c>
      <c r="S79" s="82">
        <f>Daten!X21/Daten!X20-1</f>
        <v>1.5594218986088038E-3</v>
      </c>
      <c r="T79" s="82">
        <f>Daten!Y21/Daten!Y20-1</f>
        <v>7.5921591629568574E-4</v>
      </c>
      <c r="U79" s="82">
        <f>Daten!Z21/Daten!Z20-1</f>
        <v>5.2799004339076916E-5</v>
      </c>
      <c r="V79" s="82">
        <f>Daten!AA21/Daten!AA20-1</f>
        <v>1.1979729938287331E-3</v>
      </c>
      <c r="W79" s="82">
        <f>Daten!AB21/Daten!AB20-1</f>
        <v>2.7471752703167596E-4</v>
      </c>
      <c r="X79" s="82">
        <f>Daten!AC21/Daten!AC20-1</f>
        <v>9.6345431289956984E-4</v>
      </c>
      <c r="Y79" s="82">
        <f>Daten!AD21/Daten!AD20-1</f>
        <v>3.3237333936053659E-4</v>
      </c>
      <c r="Z79" s="82">
        <f>Daten!AE21/Daten!AE20-1</f>
        <v>8.3600021396490476E-4</v>
      </c>
      <c r="AA79" s="82">
        <f>Daten!AF21/Daten!AF20-1</f>
        <v>-9.8655476078790549E-5</v>
      </c>
      <c r="AB79" s="82">
        <f>Daten!AG21/Daten!AG20-1</f>
        <v>1.0923564473537262E-3</v>
      </c>
      <c r="AC79" s="82">
        <f>Daten!AH21/Daten!AH20-1</f>
        <v>7.8944243932377312E-4</v>
      </c>
      <c r="AD79" s="82">
        <f>Daten!AI21/Daten!AI20-1</f>
        <v>7.1733977857468822E-4</v>
      </c>
      <c r="AE79" s="82">
        <f>Daten!AJ21/Daten!AJ20-1</f>
        <v>-6.016974739335712E-4</v>
      </c>
      <c r="AF79" s="82">
        <f>Daten!AK21/Daten!AK20-1</f>
        <v>9.2745716676456702E-4</v>
      </c>
      <c r="AG79" s="82">
        <f>Daten!AL21/Daten!AL20-1</f>
        <v>-1.5135594909806427E-3</v>
      </c>
      <c r="AH79" s="82">
        <f>Daten!AM21/Daten!AM20-1</f>
        <v>3.3718544740102274E-4</v>
      </c>
      <c r="AI79" s="82">
        <f>Daten!AN21/Daten!AN20-1</f>
        <v>8.9854574222725248E-4</v>
      </c>
      <c r="AJ79" s="82">
        <f>Daten!AO21/Daten!AO20-1</f>
        <v>8.3225296055755571E-4</v>
      </c>
      <c r="AK79" s="82">
        <f>Daten!AP21/Daten!AP20-1</f>
        <v>1.8622122159728249E-4</v>
      </c>
      <c r="AL79" s="82">
        <f>Daten!AQ21/Daten!AQ20-1</f>
        <v>-7.2857311133061042E-3</v>
      </c>
      <c r="AM79" s="82">
        <f>Daten!AR21/Daten!AR20-1</f>
        <v>-1.9381760073133858E-4</v>
      </c>
      <c r="AN79" s="82">
        <f>Daten!AS21/Daten!AS20-1</f>
        <v>8.8530222988181251E-4</v>
      </c>
      <c r="AO79" s="82">
        <f>Daten!AT21/Daten!AT20-1</f>
        <v>1.0027541079593583E-4</v>
      </c>
      <c r="AP79" s="82">
        <f>Daten!AU21/Daten!AU20-1</f>
        <v>1.7001004056158564E-3</v>
      </c>
      <c r="AQ79" s="82">
        <f>Daten!AV21/Daten!AV20-1</f>
        <v>1.5992248695009259E-3</v>
      </c>
      <c r="AR79" s="82">
        <f>Daten!AW21/Daten!AW20-1</f>
        <v>1.4706423272745628E-3</v>
      </c>
      <c r="AS79" s="82">
        <f>Daten!AX21/Daten!AX20-1</f>
        <v>8.1149845609695959E-4</v>
      </c>
      <c r="AT79" s="82">
        <f>Daten!AY21/Daten!AY20-1</f>
        <v>5.1885143049723581E-4</v>
      </c>
      <c r="AU79" s="82">
        <f>Daten!AZ21/Daten!AZ20-1</f>
        <v>5.2198922618940102E-4</v>
      </c>
      <c r="AV79" s="82">
        <f>Daten!BA21/Daten!BA20-1</f>
        <v>4.2503097250934374E-4</v>
      </c>
      <c r="AW79" s="82">
        <f>Daten!BB21/Daten!BB20-1</f>
        <v>8.8465482290689401E-4</v>
      </c>
      <c r="AX79" s="82">
        <f>Daten!BC21/Daten!BC20-1</f>
        <v>4.2100935479294499E-4</v>
      </c>
      <c r="AY79" s="82">
        <f t="shared" si="4"/>
        <v>3.9556896545613263E-4</v>
      </c>
    </row>
    <row r="80" spans="1:51" x14ac:dyDescent="0.45">
      <c r="A80" s="82">
        <f>Daten!F22/Daten!F21-1</f>
        <v>-1.4838382425852448E-4</v>
      </c>
      <c r="B80" s="82">
        <f>Daten!G22/Daten!G21-1</f>
        <v>-4.0098192686022216E-5</v>
      </c>
      <c r="C80" s="82">
        <f>Daten!H22/Daten!H21-1</f>
        <v>-7.7760934436787998E-5</v>
      </c>
      <c r="D80" s="82">
        <f>Daten!I22/Daten!I21-1</f>
        <v>4.7263976200140334E-5</v>
      </c>
      <c r="E80" s="82">
        <f>Daten!J22/Daten!J21-1</f>
        <v>3.4065760865753525E-4</v>
      </c>
      <c r="F80" s="82">
        <f>Daten!K22/Daten!K21-1</f>
        <v>5.6809065627239086E-4</v>
      </c>
      <c r="G80" s="82">
        <f>Daten!L22/Daten!L21-1</f>
        <v>-8.4309795854720093E-6</v>
      </c>
      <c r="H80" s="82">
        <f>Daten!M22/Daten!M21-1</f>
        <v>9.012362158067333E-5</v>
      </c>
      <c r="I80" s="82">
        <f>Daten!N22/Daten!N21-1</f>
        <v>1.3179876257796153E-4</v>
      </c>
      <c r="J80" s="82">
        <f>Daten!O22/Daten!O21-1</f>
        <v>9.0804240110209378E-4</v>
      </c>
      <c r="K80" s="82">
        <f>Daten!P22/Daten!P21-1</f>
        <v>3.3311551275128082E-4</v>
      </c>
      <c r="L80" s="82">
        <f>Daten!Q22/Daten!Q21-1</f>
        <v>-1.5573535549726625E-3</v>
      </c>
      <c r="M80" s="82">
        <f>Daten!R22/Daten!R21-1</f>
        <v>1.5548596323822217E-4</v>
      </c>
      <c r="N80" s="82">
        <f>Daten!S22/Daten!S21-1</f>
        <v>4.7994395621087094E-5</v>
      </c>
      <c r="O80" s="82">
        <f>Daten!T22/Daten!T21-1</f>
        <v>1.8199999999990446E-4</v>
      </c>
      <c r="P80" s="82">
        <f>Daten!U22/Daten!U21-1</f>
        <v>-1.250972149854368E-4</v>
      </c>
      <c r="Q80" s="82">
        <f>Daten!V22/Daten!V21-1</f>
        <v>-9.7068623691964895E-5</v>
      </c>
      <c r="R80" s="82">
        <f>Daten!W22/Daten!W21-1</f>
        <v>8.7026398224909762E-4</v>
      </c>
      <c r="S80" s="82">
        <f>Daten!X22/Daten!X21-1</f>
        <v>9.5916721501554392E-5</v>
      </c>
      <c r="T80" s="82">
        <f>Daten!Y22/Daten!Y21-1</f>
        <v>-3.9233350515033294E-6</v>
      </c>
      <c r="U80" s="82">
        <f>Daten!Z22/Daten!Z21-1</f>
        <v>4.5849965053501585E-4</v>
      </c>
      <c r="V80" s="82">
        <f>Daten!AA22/Daten!AA21-1</f>
        <v>-6.4759455754204165E-4</v>
      </c>
      <c r="W80" s="82">
        <f>Daten!AB22/Daten!AB21-1</f>
        <v>9.883194307525045E-5</v>
      </c>
      <c r="X80" s="82">
        <f>Daten!AC22/Daten!AC21-1</f>
        <v>2.3292932162854996E-4</v>
      </c>
      <c r="Y80" s="82">
        <f>Daten!AD22/Daten!AD21-1</f>
        <v>-2.9207078891102523E-4</v>
      </c>
      <c r="Z80" s="82">
        <f>Daten!AE22/Daten!AE21-1</f>
        <v>1.0646803281444406E-4</v>
      </c>
      <c r="AA80" s="82">
        <f>Daten!AF22/Daten!AF21-1</f>
        <v>1.9003288656005424E-6</v>
      </c>
      <c r="AB80" s="82">
        <f>Daten!AG22/Daten!AG21-1</f>
        <v>4.7235528804634441E-4</v>
      </c>
      <c r="AC80" s="82">
        <f>Daten!AH22/Daten!AH21-1</f>
        <v>2.2489611783993446E-4</v>
      </c>
      <c r="AD80" s="82">
        <f>Daten!AI22/Daten!AI21-1</f>
        <v>5.8890888837082045E-4</v>
      </c>
      <c r="AE80" s="82">
        <f>Daten!AJ22/Daten!AJ21-1</f>
        <v>8.0886083395181885E-5</v>
      </c>
      <c r="AF80" s="82">
        <f>Daten!AK22/Daten!AK21-1</f>
        <v>5.7889771846619809E-5</v>
      </c>
      <c r="AG80" s="82">
        <f>Daten!AL22/Daten!AL21-1</f>
        <v>-7.7932123289992106E-4</v>
      </c>
      <c r="AH80" s="82">
        <f>Daten!AM22/Daten!AM21-1</f>
        <v>2.5520000000001097E-4</v>
      </c>
      <c r="AI80" s="82">
        <f>Daten!AN22/Daten!AN21-1</f>
        <v>1.5424898178917346E-4</v>
      </c>
      <c r="AJ80" s="82">
        <f>Daten!AO22/Daten!AO21-1</f>
        <v>-5.2790741656094653E-5</v>
      </c>
      <c r="AK80" s="82">
        <f>Daten!AP22/Daten!AP21-1</f>
        <v>-5.3581934730362324E-4</v>
      </c>
      <c r="AL80" s="82">
        <f>Daten!AQ22/Daten!AQ21-1</f>
        <v>6.0617373393556662E-4</v>
      </c>
      <c r="AM80" s="82">
        <f>Daten!AR22/Daten!AR21-1</f>
        <v>1.221307643545444E-3</v>
      </c>
      <c r="AN80" s="82">
        <f>Daten!AS22/Daten!AS21-1</f>
        <v>3.9100068762065732E-5</v>
      </c>
      <c r="AO80" s="82">
        <f>Daten!AT22/Daten!AT21-1</f>
        <v>3.1887194997826107E-4</v>
      </c>
      <c r="AP80" s="82">
        <f>Daten!AU22/Daten!AU21-1</f>
        <v>-4.3537833334517106E-4</v>
      </c>
      <c r="AQ80" s="82">
        <f>Daten!AV22/Daten!AV21-1</f>
        <v>-5.3099360569930365E-4</v>
      </c>
      <c r="AR80" s="82">
        <f>Daten!AW22/Daten!AW21-1</f>
        <v>3.7366048653897366E-5</v>
      </c>
      <c r="AS80" s="82">
        <f>Daten!AX22/Daten!AX21-1</f>
        <v>2.1014546644848586E-4</v>
      </c>
      <c r="AT80" s="82">
        <f>Daten!AY22/Daten!AY21-1</f>
        <v>1.1896607106565149E-4</v>
      </c>
      <c r="AU80" s="82">
        <f>Daten!AZ22/Daten!AZ21-1</f>
        <v>6.5351672741575939E-5</v>
      </c>
      <c r="AV80" s="82">
        <f>Daten!BA22/Daten!BA21-1</f>
        <v>-3.9687856606573924E-5</v>
      </c>
      <c r="AW80" s="82">
        <f>Daten!BB22/Daten!BB21-1</f>
        <v>1.4874142315224326E-4</v>
      </c>
      <c r="AX80" s="82">
        <f>Daten!BC22/Daten!BC21-1</f>
        <v>3.1914691147161278E-5</v>
      </c>
      <c r="AY80" s="82">
        <f t="shared" si="4"/>
        <v>8.3230968979910945E-5</v>
      </c>
    </row>
    <row r="81" spans="1:51" x14ac:dyDescent="0.45">
      <c r="A81" s="82">
        <f>Daten!F23/Daten!F22-1</f>
        <v>-1.6252292115770395E-5</v>
      </c>
      <c r="B81" s="82">
        <f>Daten!G23/Daten!G22-1</f>
        <v>8.8571050727903611E-5</v>
      </c>
      <c r="C81" s="82">
        <f>Daten!H23/Daten!H22-1</f>
        <v>9.5294874577600552E-5</v>
      </c>
      <c r="D81" s="82">
        <f>Daten!I23/Daten!I22-1</f>
        <v>-4.2327444033873896E-5</v>
      </c>
      <c r="E81" s="82">
        <f>Daten!J23/Daten!J22-1</f>
        <v>-6.2576086575782952E-6</v>
      </c>
      <c r="F81" s="82">
        <f>Daten!K23/Daten!K22-1</f>
        <v>-1.6431951790200072E-3</v>
      </c>
      <c r="G81" s="82">
        <f>Daten!L23/Daten!L22-1</f>
        <v>-3.5610983381006989E-4</v>
      </c>
      <c r="H81" s="82">
        <f>Daten!M23/Daten!M22-1</f>
        <v>-7.7853510154657357E-5</v>
      </c>
      <c r="I81" s="82">
        <f>Daten!N23/Daten!N22-1</f>
        <v>4.4970257836673966E-5</v>
      </c>
      <c r="J81" s="82">
        <f>Daten!O23/Daten!O22-1</f>
        <v>1.3976931633161715E-3</v>
      </c>
      <c r="K81" s="82">
        <f>Daten!P23/Daten!P22-1</f>
        <v>-2.6400785401159421E-4</v>
      </c>
      <c r="L81" s="82">
        <f>Daten!Q23/Daten!Q22-1</f>
        <v>-1.6637842560041083E-3</v>
      </c>
      <c r="M81" s="82">
        <f>Daten!R23/Daten!R22-1</f>
        <v>-4.5595760150707321E-4</v>
      </c>
      <c r="N81" s="82">
        <f>Daten!S23/Daten!S22-1</f>
        <v>-2.4635081075607967E-4</v>
      </c>
      <c r="O81" s="82">
        <f>Daten!T23/Daten!T22-1</f>
        <v>-1.6343209767288869E-4</v>
      </c>
      <c r="P81" s="82">
        <f>Daten!U23/Daten!U22-1</f>
        <v>-5.0700981760176678E-4</v>
      </c>
      <c r="Q81" s="82">
        <f>Daten!V23/Daten!V22-1</f>
        <v>-8.7949654686014789E-4</v>
      </c>
      <c r="R81" s="82">
        <f>Daten!W23/Daten!W22-1</f>
        <v>-5.0626398224917768E-4</v>
      </c>
      <c r="S81" s="82">
        <f>Daten!X23/Daten!X22-1</f>
        <v>5.40993892801378E-5</v>
      </c>
      <c r="T81" s="82">
        <f>Daten!Y23/Daten!Y22-1</f>
        <v>-8.1067399769818582E-4</v>
      </c>
      <c r="U81" s="82">
        <f>Daten!Z23/Daten!Z22-1</f>
        <v>-1.1373031262640332E-4</v>
      </c>
      <c r="V81" s="82">
        <f>Daten!AA23/Daten!AA22-1</f>
        <v>2.3320000000004448E-4</v>
      </c>
      <c r="W81" s="82">
        <f>Daten!AB23/Daten!AB22-1</f>
        <v>-3.3116754568629503E-5</v>
      </c>
      <c r="X81" s="82">
        <f>Daten!AC23/Daten!AC22-1</f>
        <v>-2.4689055686200057E-5</v>
      </c>
      <c r="Y81" s="82">
        <f>Daten!AD23/Daten!AD22-1</f>
        <v>-7.395184345173611E-4</v>
      </c>
      <c r="Z81" s="82">
        <f>Daten!AE23/Daten!AE22-1</f>
        <v>-2.9903187468949266E-4</v>
      </c>
      <c r="AA81" s="82">
        <f>Daten!AF23/Daten!AF22-1</f>
        <v>1.2999999999996348E-4</v>
      </c>
      <c r="AB81" s="82">
        <f>Daten!AG23/Daten!AG22-1</f>
        <v>-6.0093364908331282E-4</v>
      </c>
      <c r="AC81" s="82">
        <f>Daten!AH23/Daten!AH22-1</f>
        <v>6.3624465212352987E-5</v>
      </c>
      <c r="AD81" s="82">
        <f>Daten!AI23/Daten!AI22-1</f>
        <v>-6.0525008601908237E-4</v>
      </c>
      <c r="AE81" s="82">
        <f>Daten!AJ23/Daten!AJ22-1</f>
        <v>-1.9264694157627993E-4</v>
      </c>
      <c r="AF81" s="82">
        <f>Daten!AK23/Daten!AK22-1</f>
        <v>-1.0309498022835761E-3</v>
      </c>
      <c r="AG81" s="82">
        <f>Daten!AL23/Daten!AL22-1</f>
        <v>-3.496417320543177E-3</v>
      </c>
      <c r="AH81" s="82">
        <f>Daten!AM23/Daten!AM22-1</f>
        <v>5.1276783614850885E-4</v>
      </c>
      <c r="AI81" s="82">
        <f>Daten!AN23/Daten!AN22-1</f>
        <v>-2.8355231998322683E-4</v>
      </c>
      <c r="AJ81" s="82">
        <f>Daten!AO23/Daten!AO22-1</f>
        <v>-5.5925628062503119E-4</v>
      </c>
      <c r="AK81" s="82">
        <f>Daten!AP23/Daten!AP22-1</f>
        <v>-3.9201390286869309E-4</v>
      </c>
      <c r="AL81" s="82">
        <f>Daten!AQ23/Daten!AQ22-1</f>
        <v>-1.2955335951849722E-3</v>
      </c>
      <c r="AM81" s="82">
        <f>Daten!AR23/Daten!AR22-1</f>
        <v>1.4753702066507834E-3</v>
      </c>
      <c r="AN81" s="82">
        <f>Daten!AS23/Daten!AS22-1</f>
        <v>7.9280585729035735E-5</v>
      </c>
      <c r="AO81" s="82">
        <f>Daten!AT23/Daten!AT22-1</f>
        <v>-6.434788774137834E-4</v>
      </c>
      <c r="AP81" s="82">
        <f>Daten!AU23/Daten!AU22-1</f>
        <v>6.7239478793479357E-4</v>
      </c>
      <c r="AQ81" s="82">
        <f>Daten!AV23/Daten!AV22-1</f>
        <v>7.3589590210976219E-4</v>
      </c>
      <c r="AR81" s="82">
        <f>Daten!AW23/Daten!AW22-1</f>
        <v>-5.9619739793781434E-4</v>
      </c>
      <c r="AS81" s="82">
        <f>Daten!AX23/Daten!AX22-1</f>
        <v>-4.0055972700081544E-4</v>
      </c>
      <c r="AT81" s="82">
        <f>Daten!AY23/Daten!AY22-1</f>
        <v>-1.278175015630989E-4</v>
      </c>
      <c r="AU81" s="82">
        <f>Daten!AZ23/Daten!AZ22-1</f>
        <v>-3.5271650226098572E-5</v>
      </c>
      <c r="AV81" s="82">
        <f>Daten!BA23/Daten!BA22-1</f>
        <v>8.9592488110579183E-6</v>
      </c>
      <c r="AW81" s="82">
        <f>Daten!BB23/Daten!BB22-1</f>
        <v>-5.4405582569494459E-4</v>
      </c>
      <c r="AX81" s="82">
        <f>Daten!BC23/Daten!BC22-1</f>
        <v>-1.8441693447013296E-4</v>
      </c>
      <c r="AY81" s="82">
        <f t="shared" si="4"/>
        <v>-2.9038851053601113E-4</v>
      </c>
    </row>
    <row r="82" spans="1:51" x14ac:dyDescent="0.45">
      <c r="A82" s="82">
        <f>Daten!F24/Daten!F23-1</f>
        <v>6.4476769750720919E-4</v>
      </c>
      <c r="B82" s="82">
        <f>Daten!G24/Daten!G23-1</f>
        <v>9.4625058569475229E-4</v>
      </c>
      <c r="C82" s="82">
        <f>Daten!H24/Daten!H23-1</f>
        <v>-4.2490912080317411E-4</v>
      </c>
      <c r="D82" s="82">
        <f>Daten!I24/Daten!I23-1</f>
        <v>1.2551363080948175E-3</v>
      </c>
      <c r="E82" s="82">
        <f>Daten!J24/Daten!J23-1</f>
        <v>3.8401118811992596E-4</v>
      </c>
      <c r="F82" s="82">
        <f>Daten!K24/Daten!K23-1</f>
        <v>1.9301830627203032E-3</v>
      </c>
      <c r="G82" s="82">
        <f>Daten!L24/Daten!L23-1</f>
        <v>9.0353771394657834E-4</v>
      </c>
      <c r="H82" s="82">
        <f>Daten!M24/Daten!M23-1</f>
        <v>8.8737324582432997E-4</v>
      </c>
      <c r="I82" s="82">
        <f>Daten!N24/Daten!N23-1</f>
        <v>4.7900867409156334E-4</v>
      </c>
      <c r="J82" s="82">
        <f>Daten!O24/Daten!O23-1</f>
        <v>-1.4149883095333493E-3</v>
      </c>
      <c r="K82" s="82">
        <f>Daten!P24/Daten!P23-1</f>
        <v>5.4649234126014079E-4</v>
      </c>
      <c r="L82" s="82">
        <f>Daten!Q24/Daten!Q23-1</f>
        <v>-1.2202171059314537E-3</v>
      </c>
      <c r="M82" s="82">
        <f>Daten!R24/Daten!R23-1</f>
        <v>1.4156948657340074E-3</v>
      </c>
      <c r="N82" s="82">
        <f>Daten!S24/Daten!S23-1</f>
        <v>8.4635641513486348E-4</v>
      </c>
      <c r="O82" s="82">
        <f>Daten!T24/Daten!T23-1</f>
        <v>6.5689833261672881E-4</v>
      </c>
      <c r="P82" s="82">
        <f>Daten!U24/Daten!U23-1</f>
        <v>1.7381848273638756E-3</v>
      </c>
      <c r="Q82" s="82">
        <f>Daten!V24/Daten!V23-1</f>
        <v>1.9997852500299729E-3</v>
      </c>
      <c r="R82" s="82">
        <f>Daten!W24/Daten!W23-1</f>
        <v>-2.0562836283144481E-4</v>
      </c>
      <c r="S82" s="82">
        <f>Daten!X24/Daten!X23-1</f>
        <v>1.5978610540694493E-3</v>
      </c>
      <c r="T82" s="82">
        <f>Daten!Y24/Daten!Y23-1</f>
        <v>1.7351163760481736E-3</v>
      </c>
      <c r="U82" s="82">
        <f>Daten!Z24/Daten!Z23-1</f>
        <v>1.8092807591885141E-4</v>
      </c>
      <c r="V82" s="82">
        <f>Daten!AA24/Daten!AA23-1</f>
        <v>7.3672989049677895E-4</v>
      </c>
      <c r="W82" s="82">
        <f>Daten!AB24/Daten!AB23-1</f>
        <v>7.1426911072203225E-4</v>
      </c>
      <c r="X82" s="82">
        <f>Daten!AC24/Daten!AC23-1</f>
        <v>1.5621795993476795E-3</v>
      </c>
      <c r="Y82" s="82">
        <f>Daten!AD24/Daten!AD23-1</f>
        <v>1.4935892234282377E-3</v>
      </c>
      <c r="Z82" s="82">
        <f>Daten!AE24/Daten!AE23-1</f>
        <v>2.1304067560099504E-3</v>
      </c>
      <c r="AA82" s="82">
        <f>Daten!AF24/Daten!AF23-1</f>
        <v>-2.2246904566625147E-4</v>
      </c>
      <c r="AB82" s="82">
        <f>Daten!AG24/Daten!AG23-1</f>
        <v>1.9158675963566463E-3</v>
      </c>
      <c r="AC82" s="82">
        <f>Daten!AH24/Daten!AH23-1</f>
        <v>-1.7859578397971809E-4</v>
      </c>
      <c r="AD82" s="82">
        <f>Daten!AI24/Daten!AI23-1</f>
        <v>1.3564402805756881E-3</v>
      </c>
      <c r="AE82" s="82">
        <f>Daten!AJ24/Daten!AJ23-1</f>
        <v>1.6741992759141677E-3</v>
      </c>
      <c r="AF82" s="82">
        <f>Daten!AK24/Daten!AK23-1</f>
        <v>-1.2536229885459216E-3</v>
      </c>
      <c r="AG82" s="82">
        <f>Daten!AL24/Daten!AL23-1</f>
        <v>-6.1226413784051248E-3</v>
      </c>
      <c r="AH82" s="82">
        <f>Daten!AM24/Daten!AM23-1</f>
        <v>-2.9694598974949749E-5</v>
      </c>
      <c r="AI82" s="82">
        <f>Daten!AN24/Daten!AN23-1</f>
        <v>1.1038763700299548E-4</v>
      </c>
      <c r="AJ82" s="82">
        <f>Daten!AO24/Daten!AO23-1</f>
        <v>1.6751148993263687E-3</v>
      </c>
      <c r="AK82" s="82">
        <f>Daten!AP24/Daten!AP23-1</f>
        <v>9.0910560613943758E-4</v>
      </c>
      <c r="AL82" s="82">
        <f>Daten!AQ24/Daten!AQ23-1</f>
        <v>-4.7811880394356132E-3</v>
      </c>
      <c r="AM82" s="82">
        <f>Daten!AR24/Daten!AR23-1</f>
        <v>-1.604942943343346E-3</v>
      </c>
      <c r="AN82" s="82">
        <f>Daten!AS24/Daten!AS23-1</f>
        <v>8.4481888694076801E-4</v>
      </c>
      <c r="AO82" s="82">
        <f>Daten!AT24/Daten!AT23-1</f>
        <v>8.4405170411328001E-4</v>
      </c>
      <c r="AP82" s="82">
        <f>Daten!AU24/Daten!AU23-1</f>
        <v>3.7165319979437506E-4</v>
      </c>
      <c r="AQ82" s="82">
        <f>Daten!AV24/Daten!AV23-1</f>
        <v>2.4311653256403609E-4</v>
      </c>
      <c r="AR82" s="82">
        <f>Daten!AW24/Daten!AW23-1</f>
        <v>8.8913779686605743E-4</v>
      </c>
      <c r="AS82" s="82">
        <f>Daten!AX24/Daten!AX23-1</f>
        <v>5.3558367731132428E-4</v>
      </c>
      <c r="AT82" s="82">
        <f>Daten!AY24/Daten!AY23-1</f>
        <v>4.2103113126157332E-4</v>
      </c>
      <c r="AU82" s="82">
        <f>Daten!AZ24/Daten!AZ23-1</f>
        <v>3.9215610136689172E-4</v>
      </c>
      <c r="AV82" s="82">
        <f>Daten!BA24/Daten!BA23-1</f>
        <v>2.7455138230969567E-4</v>
      </c>
      <c r="AW82" s="82">
        <f>Daten!BB24/Daten!BB23-1</f>
        <v>1.4036633500498219E-3</v>
      </c>
      <c r="AX82" s="82">
        <f>Daten!BC24/Daten!BC23-1</f>
        <v>8.1015577074050604E-4</v>
      </c>
      <c r="AY82" s="82">
        <f t="shared" si="4"/>
        <v>4.3575775607869997E-4</v>
      </c>
    </row>
    <row r="83" spans="1:51" x14ac:dyDescent="0.45">
      <c r="A83" s="82">
        <f>Daten!F25/Daten!F24-1</f>
        <v>1.1600000000000499E-4</v>
      </c>
      <c r="B83" s="82">
        <f>Daten!G25/Daten!G24-1</f>
        <v>6.0261387999216431E-4</v>
      </c>
      <c r="C83" s="82">
        <f>Daten!H25/Daten!H24-1</f>
        <v>2.2520000000003648E-4</v>
      </c>
      <c r="D83" s="82">
        <f>Daten!I25/Daten!I24-1</f>
        <v>8.9562707956947207E-4</v>
      </c>
      <c r="E83" s="82">
        <f>Daten!J25/Daten!J24-1</f>
        <v>2.5389417773125089E-4</v>
      </c>
      <c r="F83" s="82">
        <f>Daten!K25/Daten!K24-1</f>
        <v>1.8812426677767835E-3</v>
      </c>
      <c r="G83" s="82">
        <f>Daten!L25/Daten!L24-1</f>
        <v>6.8562484586354167E-4</v>
      </c>
      <c r="H83" s="82">
        <f>Daten!M25/Daten!M24-1</f>
        <v>1.304772774418872E-3</v>
      </c>
      <c r="I83" s="82">
        <f>Daten!N25/Daten!N24-1</f>
        <v>-1.2860867409147936E-4</v>
      </c>
      <c r="J83" s="82">
        <f>Daten!O25/Daten!O24-1</f>
        <v>4.6094292873788412E-4</v>
      </c>
      <c r="K83" s="82">
        <f>Daten!P25/Daten!P24-1</f>
        <v>2.0519999999990546E-4</v>
      </c>
      <c r="L83" s="82">
        <f>Daten!Q25/Daten!Q24-1</f>
        <v>1.5301446201443358E-3</v>
      </c>
      <c r="M83" s="82">
        <f>Daten!R25/Daten!R24-1</f>
        <v>1.7168880919697926E-3</v>
      </c>
      <c r="N83" s="82">
        <f>Daten!S25/Daten!S24-1</f>
        <v>4.6788660845487051E-4</v>
      </c>
      <c r="O83" s="82">
        <f>Daten!T25/Daten!T24-1</f>
        <v>1.4315211729936106E-3</v>
      </c>
      <c r="P83" s="82">
        <f>Daten!U25/Daten!U24-1</f>
        <v>2.1539243393888796E-3</v>
      </c>
      <c r="Q83" s="82">
        <f>Daten!V25/Daten!V24-1</f>
        <v>2.7263505288677159E-4</v>
      </c>
      <c r="R83" s="82">
        <f>Daten!W25/Daten!W24-1</f>
        <v>5.6962836283136475E-4</v>
      </c>
      <c r="S83" s="82">
        <f>Daten!X25/Daten!X24-1</f>
        <v>2.3402205710170154E-3</v>
      </c>
      <c r="T83" s="82">
        <f>Daten!Y25/Daten!Y24-1</f>
        <v>7.1584782466360686E-4</v>
      </c>
      <c r="U83" s="82">
        <f>Daten!Z25/Daten!Z24-1</f>
        <v>1.8519999999999648E-4</v>
      </c>
      <c r="V83" s="82">
        <f>Daten!AA25/Daten!AA24-1</f>
        <v>1.493188830028469E-4</v>
      </c>
      <c r="W83" s="82">
        <f>Daten!AB25/Daten!AB24-1</f>
        <v>6.2576414024850813E-4</v>
      </c>
      <c r="X83" s="82">
        <f>Daten!AC25/Daten!AC24-1</f>
        <v>1.3871109660137382E-3</v>
      </c>
      <c r="Y83" s="82">
        <f>Daten!AD25/Daten!AD24-1</f>
        <v>1.1337459653413262E-3</v>
      </c>
      <c r="Z83" s="82">
        <f>Daten!AE25/Daten!AE24-1</f>
        <v>1.2365334565838104E-3</v>
      </c>
      <c r="AA83" s="82">
        <f>Daten!AF25/Daten!AF24-1</f>
        <v>1.2999999999996348E-4</v>
      </c>
      <c r="AB83" s="82">
        <f>Daten!AG25/Daten!AG24-1</f>
        <v>1.2937825078536136E-3</v>
      </c>
      <c r="AC83" s="82">
        <f>Daten!AH25/Daten!AH24-1</f>
        <v>3.8628019647313216E-4</v>
      </c>
      <c r="AD83" s="82">
        <f>Daten!AI25/Daten!AI24-1</f>
        <v>8.8597918421928767E-4</v>
      </c>
      <c r="AE83" s="82">
        <f>Daten!AJ25/Daten!AJ24-1</f>
        <v>9.4383713717349771E-4</v>
      </c>
      <c r="AF83" s="82">
        <f>Daten!AK25/Daten!AK24-1</f>
        <v>-9.5174517014628979E-4</v>
      </c>
      <c r="AG83" s="82">
        <f>Daten!AL25/Daten!AL24-1</f>
        <v>4.3229949221086361E-3</v>
      </c>
      <c r="AH83" s="82">
        <f>Daten!AM25/Daten!AM24-1</f>
        <v>2.5520000000001097E-4</v>
      </c>
      <c r="AI83" s="82">
        <f>Daten!AN25/Daten!AN24-1</f>
        <v>1.4666526246558398E-3</v>
      </c>
      <c r="AJ83" s="82">
        <f>Daten!AO25/Daten!AO24-1</f>
        <v>1.4184538515489287E-3</v>
      </c>
      <c r="AK83" s="82">
        <f>Daten!AP25/Daten!AP24-1</f>
        <v>-1.9891972364149968E-4</v>
      </c>
      <c r="AL83" s="82">
        <f>Daten!AQ25/Daten!AQ24-1</f>
        <v>-1.2526985509305755E-2</v>
      </c>
      <c r="AM83" s="82">
        <f>Daten!AR25/Daten!AR24-1</f>
        <v>1.1348485702920019E-3</v>
      </c>
      <c r="AN83" s="82">
        <f>Daten!AS25/Daten!AS24-1</f>
        <v>1.165638109554834E-3</v>
      </c>
      <c r="AO83" s="82">
        <f>Daten!AT25/Daten!AT24-1</f>
        <v>1.235576711753783E-3</v>
      </c>
      <c r="AP83" s="82">
        <f>Daten!AU25/Daten!AU24-1</f>
        <v>1.7000000000000348E-4</v>
      </c>
      <c r="AQ83" s="82">
        <f>Daten!AV25/Daten!AV24-1</f>
        <v>1.5520000000002199E-4</v>
      </c>
      <c r="AR83" s="82">
        <f>Daten!AW25/Daten!AW24-1</f>
        <v>1.5520000000002199E-4</v>
      </c>
      <c r="AS83" s="82">
        <f>Daten!AX25/Daten!AX24-1</f>
        <v>5.0000000000105516E-5</v>
      </c>
      <c r="AT83" s="82">
        <f>Daten!AY25/Daten!AY24-1</f>
        <v>1.7000000000000348E-4</v>
      </c>
      <c r="AU83" s="82">
        <f>Daten!AZ25/Daten!AZ24-1</f>
        <v>1.9520000000006199E-4</v>
      </c>
      <c r="AV83" s="82">
        <f>Daten!BA25/Daten!BA24-1</f>
        <v>1.1519999999998198E-4</v>
      </c>
      <c r="AW83" s="82">
        <f>Daten!BB25/Daten!BB24-1</f>
        <v>1.9171044804029425E-3</v>
      </c>
      <c r="AX83" s="82">
        <f>Daten!BC25/Daten!BC24-1</f>
        <v>3.775702077941645E-4</v>
      </c>
      <c r="AY83" s="82">
        <f t="shared" si="4"/>
        <v>5.4224383339339182E-4</v>
      </c>
    </row>
    <row r="84" spans="1:51" x14ac:dyDescent="0.45">
      <c r="A84" s="82">
        <f>Daten!F26/Daten!F25-1</f>
        <v>7.1960606167875696E-5</v>
      </c>
      <c r="B84" s="82">
        <f>Daten!G26/Daten!G25-1</f>
        <v>1.3159760683434385E-4</v>
      </c>
      <c r="C84" s="82">
        <f>Daten!H26/Daten!H25-1</f>
        <v>1.6973860941538188E-3</v>
      </c>
      <c r="D84" s="82">
        <f>Daten!I26/Daten!I25-1</f>
        <v>1.3679999999993697E-4</v>
      </c>
      <c r="E84" s="82">
        <f>Daten!J26/Daten!J25-1</f>
        <v>1.238550743785094E-4</v>
      </c>
      <c r="F84" s="82">
        <f>Daten!K26/Daten!K25-1</f>
        <v>1.8749761029812628E-3</v>
      </c>
      <c r="G84" s="82">
        <f>Daten!L26/Daten!L25-1</f>
        <v>1.652000000000875E-4</v>
      </c>
      <c r="H84" s="82">
        <f>Daten!M26/Daten!M25-1</f>
        <v>6.8324951605358564E-6</v>
      </c>
      <c r="I84" s="82">
        <f>Daten!N26/Daten!N25-1</f>
        <v>-8.5376696959182929E-5</v>
      </c>
      <c r="J84" s="82">
        <f>Daten!O26/Daten!O25-1</f>
        <v>3.8454618951329067E-3</v>
      </c>
      <c r="K84" s="82">
        <f>Daten!P26/Daten!P25-1</f>
        <v>1.1423733506135125E-3</v>
      </c>
      <c r="L84" s="82">
        <f>Daten!Q26/Daten!Q25-1</f>
        <v>1.3265416322987278E-3</v>
      </c>
      <c r="M84" s="82">
        <f>Daten!R26/Daten!R25-1</f>
        <v>2.6999999999999247E-4</v>
      </c>
      <c r="N84" s="82">
        <f>Daten!S26/Daten!S25-1</f>
        <v>2.5796690169976877E-4</v>
      </c>
      <c r="O84" s="82">
        <f>Daten!T26/Daten!T25-1</f>
        <v>-7.6226832641856923E-5</v>
      </c>
      <c r="P84" s="82">
        <f>Daten!U26/Daten!U25-1</f>
        <v>8.7321012368413164E-5</v>
      </c>
      <c r="Q84" s="82">
        <f>Daten!V26/Daten!V25-1</f>
        <v>3.1365847580455686E-4</v>
      </c>
      <c r="R84" s="82">
        <f>Daten!W26/Daten!W25-1</f>
        <v>-2.0562836283144481E-4</v>
      </c>
      <c r="S84" s="82">
        <f>Daten!X26/Daten!X25-1</f>
        <v>1.3909421913815834E-5</v>
      </c>
      <c r="T84" s="82">
        <f>Daten!Y26/Daten!Y25-1</f>
        <v>2.9258359787243116E-4</v>
      </c>
      <c r="U84" s="82">
        <f>Daten!Z26/Daten!Z25-1</f>
        <v>1.2390906786419187E-3</v>
      </c>
      <c r="V84" s="82">
        <f>Daten!AA26/Daten!AA25-1</f>
        <v>6.1053750861783662E-4</v>
      </c>
      <c r="W84" s="82">
        <f>Daten!AB26/Daten!AB25-1</f>
        <v>-2.5231252026569617E-4</v>
      </c>
      <c r="X84" s="82">
        <f>Daten!AC26/Daten!AC25-1</f>
        <v>4.8876286110877132E-4</v>
      </c>
      <c r="Y84" s="82">
        <f>Daten!AD26/Daten!AD25-1</f>
        <v>1.0871547172239815E-3</v>
      </c>
      <c r="Z84" s="82">
        <f>Daten!AE26/Daten!AE25-1</f>
        <v>-1.3834520533828609E-5</v>
      </c>
      <c r="AA84" s="82">
        <f>Daten!AF26/Daten!AF25-1</f>
        <v>2.2615629465438936E-4</v>
      </c>
      <c r="AB84" s="82">
        <f>Daten!AG26/Daten!AG25-1</f>
        <v>-1.449347181768923E-4</v>
      </c>
      <c r="AC84" s="82">
        <f>Daten!AH26/Daten!AH25-1</f>
        <v>9.9097314024487737E-4</v>
      </c>
      <c r="AD84" s="82">
        <f>Daten!AI26/Daten!AI25-1</f>
        <v>-2.2016191637708182E-4</v>
      </c>
      <c r="AE84" s="82">
        <f>Daten!AJ26/Daten!AJ25-1</f>
        <v>1.0330213240439257E-3</v>
      </c>
      <c r="AF84" s="82">
        <f>Daten!AK26/Daten!AK25-1</f>
        <v>2.0706221445077055E-3</v>
      </c>
      <c r="AG84" s="82">
        <f>Daten!AL26/Daten!AL25-1</f>
        <v>2.8471639049940656E-3</v>
      </c>
      <c r="AH84" s="82">
        <f>Daten!AM26/Daten!AM25-1</f>
        <v>1.5368553850603206E-4</v>
      </c>
      <c r="AI84" s="82">
        <f>Daten!AN26/Daten!AN25-1</f>
        <v>1.2015442335260307E-3</v>
      </c>
      <c r="AJ84" s="82">
        <f>Daten!AO26/Daten!AO25-1</f>
        <v>3.2585206035529168E-4</v>
      </c>
      <c r="AK84" s="82">
        <f>Daten!AP26/Daten!AP25-1</f>
        <v>1.4366506352718744E-3</v>
      </c>
      <c r="AL84" s="82">
        <f>Daten!AQ26/Daten!AQ25-1</f>
        <v>1.8474820106199275E-2</v>
      </c>
      <c r="AM84" s="82">
        <f>Daten!AR26/Daten!AR25-1</f>
        <v>8.7666702898769877E-4</v>
      </c>
      <c r="AN84" s="82">
        <f>Daten!AS26/Daten!AS25-1</f>
        <v>-1.211756691118504E-4</v>
      </c>
      <c r="AO84" s="82">
        <f>Daten!AT26/Daten!AT25-1</f>
        <v>-1.1772830155531988E-4</v>
      </c>
      <c r="AP84" s="82">
        <f>Daten!AU26/Daten!AU25-1</f>
        <v>2.8597475131111327E-3</v>
      </c>
      <c r="AQ84" s="82">
        <f>Daten!AV26/Daten!AV25-1</f>
        <v>2.6402580339892623E-3</v>
      </c>
      <c r="AR84" s="82">
        <f>Daten!AW26/Daten!AW25-1</f>
        <v>2.6101018310291657E-3</v>
      </c>
      <c r="AS84" s="82">
        <f>Daten!AX26/Daten!AX25-1</f>
        <v>2.3901936505299481E-3</v>
      </c>
      <c r="AT84" s="82">
        <f>Daten!AY26/Daten!AY25-1</f>
        <v>1.507801084249305E-3</v>
      </c>
      <c r="AU84" s="82">
        <f>Daten!AZ26/Daten!AZ25-1</f>
        <v>1.2914917274104987E-3</v>
      </c>
      <c r="AV84" s="82">
        <f>Daten!BA26/Daten!BA25-1</f>
        <v>1.3746723360570368E-3</v>
      </c>
      <c r="AW84" s="82">
        <f>Daten!BB26/Daten!BB25-1</f>
        <v>-1.0939904777074183E-4</v>
      </c>
      <c r="AX84" s="82">
        <f>Daten!BC26/Daten!BC25-1</f>
        <v>-1.4078837182485149E-4</v>
      </c>
      <c r="AY84" s="82">
        <f t="shared" si="4"/>
        <v>1.1823645929882427E-3</v>
      </c>
    </row>
    <row r="85" spans="1:51" x14ac:dyDescent="0.45">
      <c r="A85" s="82">
        <f>Daten!F27/Daten!F26-1</f>
        <v>6.0018788787963295E-4</v>
      </c>
      <c r="B85" s="82">
        <f>Daten!G27/Daten!G26-1</f>
        <v>1.0296473852993149E-3</v>
      </c>
      <c r="C85" s="82">
        <f>Daten!H27/Daten!H26-1</f>
        <v>1.304514840276827E-3</v>
      </c>
      <c r="D85" s="82">
        <f>Daten!I27/Daten!I26-1</f>
        <v>1.4726807269505038E-3</v>
      </c>
      <c r="E85" s="82">
        <f>Daten!J27/Daten!J26-1</f>
        <v>2.9722180085234307E-4</v>
      </c>
      <c r="F85" s="82">
        <f>Daten!K27/Daten!K26-1</f>
        <v>1.7008000025540149E-3</v>
      </c>
      <c r="G85" s="82">
        <f>Daten!L27/Daten!L26-1</f>
        <v>8.1485529227753872E-4</v>
      </c>
      <c r="H85" s="82">
        <f>Daten!M27/Daten!M26-1</f>
        <v>1.0938273473257709E-3</v>
      </c>
      <c r="I85" s="82">
        <f>Daten!N27/Daten!N26-1</f>
        <v>1.6930313783733997E-3</v>
      </c>
      <c r="J85" s="82">
        <f>Daten!O27/Daten!O26-1</f>
        <v>3.0677909865894915E-3</v>
      </c>
      <c r="K85" s="82">
        <f>Daten!P27/Daten!P26-1</f>
        <v>-5.0192234295032279E-5</v>
      </c>
      <c r="L85" s="82">
        <f>Daten!Q27/Daten!Q26-1</f>
        <v>1.4225440549846535E-3</v>
      </c>
      <c r="M85" s="82">
        <f>Daten!R27/Daten!R26-1</f>
        <v>1.3709700354225252E-3</v>
      </c>
      <c r="N85" s="82">
        <f>Daten!S27/Daten!S26-1</f>
        <v>1.1382473158634276E-3</v>
      </c>
      <c r="O85" s="82">
        <f>Daten!T27/Daten!T26-1</f>
        <v>1.1710368236867996E-3</v>
      </c>
      <c r="P85" s="82">
        <f>Daten!U27/Daten!U26-1</f>
        <v>1.4747406071637936E-3</v>
      </c>
      <c r="Q85" s="82">
        <f>Daten!V27/Daten!V26-1</f>
        <v>2.6045762241020398E-3</v>
      </c>
      <c r="R85" s="82">
        <f>Daten!W27/Daten!W26-1</f>
        <v>6.9876097151455596E-4</v>
      </c>
      <c r="S85" s="82">
        <f>Daten!X27/Daten!X26-1</f>
        <v>2.0419703852676552E-3</v>
      </c>
      <c r="T85" s="82">
        <f>Daten!Y27/Daten!Y26-1</f>
        <v>1.643406418458726E-3</v>
      </c>
      <c r="U85" s="82">
        <f>Daten!Z27/Daten!Z26-1</f>
        <v>-7.9099050914188673E-5</v>
      </c>
      <c r="V85" s="82">
        <f>Daten!AA27/Daten!AA26-1</f>
        <v>8.6136820445359419E-4</v>
      </c>
      <c r="W85" s="82">
        <f>Daten!AB27/Daten!AB26-1</f>
        <v>8.0112130523346536E-4</v>
      </c>
      <c r="X85" s="82">
        <f>Daten!AC27/Daten!AC26-1</f>
        <v>1.1276332005050183E-3</v>
      </c>
      <c r="Y85" s="82">
        <f>Daten!AD27/Daten!AD26-1</f>
        <v>1.4836096166674917E-3</v>
      </c>
      <c r="Z85" s="82">
        <f>Daten!AE27/Daten!AE26-1</f>
        <v>1.9581790356373308E-3</v>
      </c>
      <c r="AA85" s="82">
        <f>Daten!AF27/Daten!AF26-1</f>
        <v>1.889102836212464E-3</v>
      </c>
      <c r="AB85" s="82">
        <f>Daten!AG27/Daten!AG26-1</f>
        <v>2.5202740543854851E-3</v>
      </c>
      <c r="AC85" s="82">
        <f>Daten!AH27/Daten!AH26-1</f>
        <v>1.5123064971802602E-3</v>
      </c>
      <c r="AD85" s="82">
        <f>Daten!AI27/Daten!AI26-1</f>
        <v>1.1829103022085175E-3</v>
      </c>
      <c r="AE85" s="82">
        <f>Daten!AJ27/Daten!AJ26-1</f>
        <v>7.1492472773893034E-4</v>
      </c>
      <c r="AF85" s="82">
        <f>Daten!AK27/Daten!AK26-1</f>
        <v>1.366337908533577E-3</v>
      </c>
      <c r="AG85" s="82">
        <f>Daten!AL27/Daten!AL26-1</f>
        <v>-1.7546666386165644E-3</v>
      </c>
      <c r="AH85" s="82">
        <f>Daten!AM27/Daten!AM26-1</f>
        <v>4.113662677955876E-4</v>
      </c>
      <c r="AI85" s="82">
        <f>Daten!AN27/Daten!AN26-1</f>
        <v>6.3360132227940902E-4</v>
      </c>
      <c r="AJ85" s="82">
        <f>Daten!AO27/Daten!AO26-1</f>
        <v>1.2473513056172614E-3</v>
      </c>
      <c r="AK85" s="82">
        <f>Daten!AP27/Daten!AP26-1</f>
        <v>-5.8280335981630849E-4</v>
      </c>
      <c r="AL85" s="82">
        <f>Daten!AQ27/Daten!AQ26-1</f>
        <v>-4.6449615551413803E-4</v>
      </c>
      <c r="AM85" s="82">
        <f>Daten!AR27/Daten!AR26-1</f>
        <v>1.6856937240414815E-3</v>
      </c>
      <c r="AN85" s="82">
        <f>Daten!AS27/Daten!AS26-1</f>
        <v>8.4346181724170854E-4</v>
      </c>
      <c r="AO85" s="82">
        <f>Daten!AT27/Daten!AT26-1</f>
        <v>8.4159192897037549E-4</v>
      </c>
      <c r="AP85" s="82">
        <f>Daten!AU27/Daten!AU26-1</f>
        <v>2.8262436437400673E-3</v>
      </c>
      <c r="AQ85" s="82">
        <f>Daten!AV27/Daten!AV26-1</f>
        <v>2.5174679466508643E-3</v>
      </c>
      <c r="AR85" s="82">
        <f>Daten!AW27/Daten!AW26-1</f>
        <v>2.419308815949206E-3</v>
      </c>
      <c r="AS85" s="82">
        <f>Daten!AX27/Daten!AX26-1</f>
        <v>2.085518633964778E-3</v>
      </c>
      <c r="AT85" s="82">
        <f>Daten!AY27/Daten!AY26-1</f>
        <v>1.5628730523811196E-3</v>
      </c>
      <c r="AU85" s="82">
        <f>Daten!AZ27/Daten!AZ26-1</f>
        <v>1.2720568657555997E-3</v>
      </c>
      <c r="AV85" s="82">
        <f>Daten!BA27/Daten!BA26-1</f>
        <v>1.1289597551404906E-3</v>
      </c>
      <c r="AW85" s="82">
        <f>Daten!BB27/Daten!BB26-1</f>
        <v>1.4392937491698454E-3</v>
      </c>
      <c r="AX85" s="82">
        <f>Daten!BC27/Daten!BC26-1</f>
        <v>8.9560685487977132E-4</v>
      </c>
      <c r="AY85" s="82">
        <f t="shared" si="4"/>
        <v>1.2313781332681805E-3</v>
      </c>
    </row>
    <row r="86" spans="1:51" x14ac:dyDescent="0.45">
      <c r="A86" s="82">
        <f>Daten!F28/Daten!F27-1</f>
        <v>-1.0401848684937764E-4</v>
      </c>
      <c r="B86" s="82">
        <f>Daten!G28/Daten!G27-1</f>
        <v>-2.9577762585919487E-4</v>
      </c>
      <c r="C86" s="82">
        <f>Daten!H28/Daten!H27-1</f>
        <v>-1.6304440997638725E-4</v>
      </c>
      <c r="D86" s="82">
        <f>Daten!I28/Daten!I27-1</f>
        <v>4.7869011278622864E-5</v>
      </c>
      <c r="E86" s="82">
        <f>Daten!J28/Daten!J27-1</f>
        <v>-1.7961134356747621E-4</v>
      </c>
      <c r="F86" s="82">
        <f>Daten!K28/Daten!K27-1</f>
        <v>-1.6656042312798158E-3</v>
      </c>
      <c r="G86" s="82">
        <f>Daten!L28/Daten!L27-1</f>
        <v>-5.1243803086298279E-5</v>
      </c>
      <c r="H86" s="82">
        <f>Daten!M28/Daten!M27-1</f>
        <v>-3.272076779521349E-4</v>
      </c>
      <c r="I86" s="82">
        <f>Daten!N28/Daten!N27-1</f>
        <v>-2.1459312884741788E-4</v>
      </c>
      <c r="J86" s="82">
        <f>Daten!O28/Daten!O27-1</f>
        <v>2.8199999999989345E-4</v>
      </c>
      <c r="K86" s="82">
        <f>Daten!P28/Daten!P27-1</f>
        <v>-1.7817017222720999E-4</v>
      </c>
      <c r="L86" s="82">
        <f>Daten!Q28/Daten!Q27-1</f>
        <v>-1.3119315982463853E-3</v>
      </c>
      <c r="M86" s="82">
        <f>Daten!R28/Daten!R27-1</f>
        <v>-3.7505766892398373E-4</v>
      </c>
      <c r="N86" s="82">
        <f>Daten!S28/Daten!S27-1</f>
        <v>-4.5453103259784911E-4</v>
      </c>
      <c r="O86" s="82">
        <f>Daten!T28/Daten!T27-1</f>
        <v>-3.7674402924459116E-4</v>
      </c>
      <c r="P86" s="82">
        <f>Daten!U28/Daten!U27-1</f>
        <v>-5.8469705214769796E-4</v>
      </c>
      <c r="Q86" s="82">
        <f>Daten!V28/Daten!V27-1</f>
        <v>-1.8132972797723079E-3</v>
      </c>
      <c r="R86" s="82">
        <f>Daten!W28/Daten!W27-1</f>
        <v>1.0848547646014062E-3</v>
      </c>
      <c r="S86" s="82">
        <f>Daten!X28/Daten!X27-1</f>
        <v>-1.4751841659144116E-3</v>
      </c>
      <c r="T86" s="82">
        <f>Daten!Y28/Daten!Y27-1</f>
        <v>-8.8923666658280442E-4</v>
      </c>
      <c r="U86" s="82">
        <f>Daten!Z28/Daten!Z27-1</f>
        <v>1.1137989360607836E-3</v>
      </c>
      <c r="V86" s="82">
        <f>Daten!AA28/Daten!AA27-1</f>
        <v>-2.2736782344301432E-4</v>
      </c>
      <c r="W86" s="82">
        <f>Daten!AB28/Daten!AB27-1</f>
        <v>-1.6429242890980689E-4</v>
      </c>
      <c r="X86" s="82">
        <f>Daten!AC28/Daten!AC27-1</f>
        <v>-2.3594597559473129E-4</v>
      </c>
      <c r="Y86" s="82">
        <f>Daten!AD28/Daten!AD27-1</f>
        <v>-7.762991388122753E-4</v>
      </c>
      <c r="Z86" s="82">
        <f>Daten!AE28/Daten!AE27-1</f>
        <v>-6.9658711126252548E-4</v>
      </c>
      <c r="AA86" s="82">
        <f>Daten!AF28/Daten!AF27-1</f>
        <v>1.2999999999996348E-4</v>
      </c>
      <c r="AB86" s="82">
        <f>Daten!AG28/Daten!AG27-1</f>
        <v>-9.2142043096010706E-4</v>
      </c>
      <c r="AC86" s="82">
        <f>Daten!AH28/Daten!AH27-1</f>
        <v>-1.6269782561831869E-3</v>
      </c>
      <c r="AD86" s="82">
        <f>Daten!AI28/Daten!AI27-1</f>
        <v>-7.7251030220859551E-4</v>
      </c>
      <c r="AE86" s="82">
        <f>Daten!AJ28/Daten!AJ27-1</f>
        <v>-2.5494364680268555E-3</v>
      </c>
      <c r="AF86" s="82">
        <f>Daten!AK28/Daten!AK27-1</f>
        <v>-8.1593790853362602E-4</v>
      </c>
      <c r="AG86" s="82">
        <f>Daten!AL28/Daten!AL27-1</f>
        <v>-1.2258656497956544E-3</v>
      </c>
      <c r="AH86" s="82">
        <f>Daten!AM28/Daten!AM27-1</f>
        <v>1.5414335204826379E-3</v>
      </c>
      <c r="AI86" s="82">
        <f>Daten!AN28/Daten!AN27-1</f>
        <v>-2.8118549431688233E-4</v>
      </c>
      <c r="AJ86" s="82">
        <f>Daten!AO28/Daten!AO27-1</f>
        <v>-1.0990919069486793E-3</v>
      </c>
      <c r="AK86" s="82">
        <f>Daten!AP28/Daten!AP27-1</f>
        <v>9.0684000319174451E-4</v>
      </c>
      <c r="AL86" s="82">
        <f>Daten!AQ28/Daten!AQ27-1</f>
        <v>-1.0733160811632669E-2</v>
      </c>
      <c r="AM86" s="82">
        <f>Daten!AR28/Daten!AR27-1</f>
        <v>5.7578974936722815E-4</v>
      </c>
      <c r="AN86" s="82">
        <f>Daten!AS28/Daten!AS27-1</f>
        <v>6.4212660620244222E-4</v>
      </c>
      <c r="AO86" s="82">
        <f>Daten!AT28/Daten!AT27-1</f>
        <v>-2.9186362741517868E-4</v>
      </c>
      <c r="AP86" s="82">
        <f>Daten!AU28/Daten!AU27-1</f>
        <v>-8.0056115078663836E-5</v>
      </c>
      <c r="AQ86" s="82">
        <f>Daten!AV28/Daten!AV27-1</f>
        <v>2.4212321985328522E-4</v>
      </c>
      <c r="AR86" s="82">
        <f>Daten!AW28/Daten!AW27-1</f>
        <v>1.8974114744674253E-4</v>
      </c>
      <c r="AS86" s="82">
        <f>Daten!AX28/Daten!AX27-1</f>
        <v>1.6885724942117264E-4</v>
      </c>
      <c r="AT86" s="82">
        <f>Daten!AY28/Daten!AY27-1</f>
        <v>2.7143314985744738E-4</v>
      </c>
      <c r="AU86" s="82">
        <f>Daten!AZ28/Daten!AZ27-1</f>
        <v>2.5772590032202558E-4</v>
      </c>
      <c r="AV86" s="82">
        <f>Daten!BA28/Daten!BA27-1</f>
        <v>3.1544238431990834E-5</v>
      </c>
      <c r="AW86" s="82">
        <f>Daten!BB28/Daten!BB27-1</f>
        <v>3.2082616851369927E-4</v>
      </c>
      <c r="AX86" s="82">
        <f>Daten!BC28/Daten!BC27-1</f>
        <v>-3.1320393348610587E-4</v>
      </c>
      <c r="AY86" s="82">
        <f t="shared" si="4"/>
        <v>-5.175545225266008E-4</v>
      </c>
    </row>
    <row r="87" spans="1:51" x14ac:dyDescent="0.45">
      <c r="A87" s="82">
        <f>Daten!F29/Daten!F28-1</f>
        <v>3.360184868492766E-4</v>
      </c>
      <c r="B87" s="82">
        <f>Daten!G29/Daten!G28-1</f>
        <v>1.3163132776061737E-4</v>
      </c>
      <c r="C87" s="82">
        <f>Daten!H29/Daten!H28-1</f>
        <v>7.4278212331724269E-4</v>
      </c>
      <c r="D87" s="82">
        <f>Daten!I29/Daten!I28-1</f>
        <v>-4.4169573231556125E-4</v>
      </c>
      <c r="E87" s="82">
        <f>Daten!J29/Daten!J28-1</f>
        <v>1.2382910248520673E-4</v>
      </c>
      <c r="F87" s="82">
        <f>Daten!K29/Daten!K28-1</f>
        <v>2.0804048615934434E-3</v>
      </c>
      <c r="G87" s="82">
        <f>Daten!L29/Daten!L28-1</f>
        <v>-8.0327433831239858E-6</v>
      </c>
      <c r="H87" s="82">
        <f>Daten!M29/Daten!M28-1</f>
        <v>6.7568147673235934E-4</v>
      </c>
      <c r="I87" s="82">
        <f>Daten!N29/Daten!N28-1</f>
        <v>9.111824512066935E-4</v>
      </c>
      <c r="J87" s="82">
        <f>Daten!O29/Daten!O28-1</f>
        <v>4.7984051468281663E-3</v>
      </c>
      <c r="K87" s="82">
        <f>Daten!P29/Daten!P28-1</f>
        <v>2.0519999999990546E-4</v>
      </c>
      <c r="L87" s="82">
        <f>Daten!Q29/Daten!Q28-1</f>
        <v>1.0752544147625276E-3</v>
      </c>
      <c r="M87" s="82">
        <f>Daten!R29/Daten!R28-1</f>
        <v>6.1162046398388625E-4</v>
      </c>
      <c r="N87" s="82">
        <f>Daten!S29/Daten!S28-1</f>
        <v>1.0958598465522496E-3</v>
      </c>
      <c r="O87" s="82">
        <f>Daten!T29/Daten!T28-1</f>
        <v>5.6889934131509889E-4</v>
      </c>
      <c r="P87" s="82">
        <f>Daten!U29/Daten!U28-1</f>
        <v>1.3056369902331166E-3</v>
      </c>
      <c r="Q87" s="82">
        <f>Daten!V29/Daten!V28-1</f>
        <v>2.5212391751776586E-3</v>
      </c>
      <c r="R87" s="82">
        <f>Daten!W29/Daten!W28-1</f>
        <v>-1.4100061251626217E-3</v>
      </c>
      <c r="S87" s="82">
        <f>Daten!X29/Daten!X28-1</f>
        <v>1.0909074493743454E-3</v>
      </c>
      <c r="T87" s="82">
        <f>Daten!Y29/Daten!Y28-1</f>
        <v>1.0100993926327462E-3</v>
      </c>
      <c r="U87" s="82">
        <f>Daten!Z29/Daten!Z28-1</f>
        <v>-6.1549221371792751E-4</v>
      </c>
      <c r="V87" s="82">
        <f>Daten!AA29/Daten!AA28-1</f>
        <v>-7.3138666312766443E-4</v>
      </c>
      <c r="W87" s="82">
        <f>Daten!AB29/Daten!AB28-1</f>
        <v>1.8668364394214265E-4</v>
      </c>
      <c r="X87" s="82">
        <f>Daten!AC29/Daten!AC28-1</f>
        <v>9.1385978739655371E-4</v>
      </c>
      <c r="Y87" s="82">
        <f>Daten!AD29/Daten!AD28-1</f>
        <v>8.1870266825534443E-4</v>
      </c>
      <c r="Z87" s="82">
        <f>Daten!AE29/Daten!AE28-1</f>
        <v>1.0722663265128052E-3</v>
      </c>
      <c r="AA87" s="82">
        <f>Daten!AF29/Daten!AF28-1</f>
        <v>-2.7601702447643817E-4</v>
      </c>
      <c r="AB87" s="82">
        <f>Daten!AG29/Daten!AG28-1</f>
        <v>6.7546173573052037E-4</v>
      </c>
      <c r="AC87" s="82">
        <f>Daten!AH29/Daten!AH28-1</f>
        <v>3.4588638795218785E-4</v>
      </c>
      <c r="AD87" s="82">
        <f>Daten!AI29/Daten!AI28-1</f>
        <v>8.4308674660449334E-4</v>
      </c>
      <c r="AE87" s="82">
        <f>Daten!AJ29/Daten!AJ28-1</f>
        <v>8.5395954641453997E-4</v>
      </c>
      <c r="AF87" s="82">
        <f>Daten!AK29/Daten!AK28-1</f>
        <v>1.7149238463036731E-3</v>
      </c>
      <c r="AG87" s="82">
        <f>Daten!AL29/Daten!AL28-1</f>
        <v>2.5318501394533399E-3</v>
      </c>
      <c r="AH87" s="82">
        <f>Daten!AM29/Daten!AM28-1</f>
        <v>-8.4370809382672274E-4</v>
      </c>
      <c r="AI87" s="82">
        <f>Daten!AN29/Daten!AN28-1</f>
        <v>1.24281481484112E-3</v>
      </c>
      <c r="AJ87" s="82">
        <f>Daten!AO29/Daten!AO28-1</f>
        <v>1.2898236130602925E-3</v>
      </c>
      <c r="AK87" s="82">
        <f>Daten!AP29/Daten!AP28-1</f>
        <v>-5.8258008427569674E-4</v>
      </c>
      <c r="AL87" s="82">
        <f>Daten!AQ29/Daten!AQ28-1</f>
        <v>-4.728874576191644E-3</v>
      </c>
      <c r="AM87" s="82">
        <f>Daten!AR29/Daten!AR28-1</f>
        <v>6.6056191637731132E-4</v>
      </c>
      <c r="AN87" s="82">
        <f>Daten!AS29/Daten!AS28-1</f>
        <v>-5.2255665138833951E-4</v>
      </c>
      <c r="AO87" s="82">
        <f>Daten!AT29/Daten!AT28-1</f>
        <v>2.7480502540622176E-4</v>
      </c>
      <c r="AP87" s="82">
        <f>Daten!AU29/Daten!AU28-1</f>
        <v>-7.4244165357140179E-4</v>
      </c>
      <c r="AQ87" s="82">
        <f>Daten!AV29/Daten!AV28-1</f>
        <v>-6.5821204253524446E-4</v>
      </c>
      <c r="AR87" s="82">
        <f>Daten!AW29/Daten!AW28-1</f>
        <v>-8.4328289376933707E-4</v>
      </c>
      <c r="AS87" s="82">
        <f>Daten!AX29/Daten!AX28-1</f>
        <v>-1.0159241937076624E-3</v>
      </c>
      <c r="AT87" s="82">
        <f>Daten!AY29/Daten!AY28-1</f>
        <v>-7.0564091703573251E-4</v>
      </c>
      <c r="AU87" s="82">
        <f>Daten!AZ29/Daten!AZ28-1</f>
        <v>-5.223044220777906E-4</v>
      </c>
      <c r="AV87" s="82">
        <f>Daten!BA29/Daten!BA28-1</f>
        <v>-4.7084196220592567E-4</v>
      </c>
      <c r="AW87" s="82">
        <f>Daten!BB29/Daten!BB28-1</f>
        <v>2.3493356554360467E-4</v>
      </c>
      <c r="AX87" s="82">
        <f>Daten!BC29/Daten!BC28-1</f>
        <v>7.521621415529367E-5</v>
      </c>
      <c r="AY87" s="82">
        <f t="shared" si="4"/>
        <v>3.5845860304358927E-4</v>
      </c>
    </row>
    <row r="88" spans="1:51" x14ac:dyDescent="0.45">
      <c r="A88" s="82">
        <f>Daten!F30/Daten!F29-1</f>
        <v>2.9193457072818063E-4</v>
      </c>
      <c r="B88" s="82">
        <f>Daten!G30/Daten!G29-1</f>
        <v>1.7439999999990796E-4</v>
      </c>
      <c r="C88" s="82">
        <f>Daten!H30/Daten!H29-1</f>
        <v>9.1435136056139399E-4</v>
      </c>
      <c r="D88" s="82">
        <f>Daten!I30/Daten!I29-1</f>
        <v>7.5976350298900819E-4</v>
      </c>
      <c r="E88" s="82">
        <f>Daten!J30/Daten!J29-1</f>
        <v>2.5393746421942254E-4</v>
      </c>
      <c r="F88" s="82">
        <f>Daten!K30/Daten!K29-1</f>
        <v>1.4447357195264132E-3</v>
      </c>
      <c r="G88" s="82">
        <f>Daten!L30/Daten!L29-1</f>
        <v>1.2188101518506578E-4</v>
      </c>
      <c r="H88" s="82">
        <f>Daten!M30/Daten!M29-1</f>
        <v>3.4128327849858309E-4</v>
      </c>
      <c r="I88" s="82">
        <f>Daten!N30/Daten!N29-1</f>
        <v>-9.0755917940543718E-4</v>
      </c>
      <c r="J88" s="82">
        <f>Daten!O30/Daten!O29-1</f>
        <v>3.4980450838624222E-3</v>
      </c>
      <c r="K88" s="82">
        <f>Daten!P30/Daten!P29-1</f>
        <v>2.9042262231104843E-4</v>
      </c>
      <c r="L88" s="82">
        <f>Daten!Q30/Daten!Q29-1</f>
        <v>2.4100264839839181E-3</v>
      </c>
      <c r="M88" s="82">
        <f>Daten!R30/Daten!R29-1</f>
        <v>1.02819586628633E-3</v>
      </c>
      <c r="N88" s="82">
        <f>Daten!S30/Daten!S29-1</f>
        <v>7.1797788124139394E-4</v>
      </c>
      <c r="O88" s="82">
        <f>Daten!T30/Daten!T29-1</f>
        <v>3.1088989021821334E-4</v>
      </c>
      <c r="P88" s="82">
        <f>Daten!U30/Daten!U29-1</f>
        <v>-6.2618462191976754E-4</v>
      </c>
      <c r="Q88" s="82">
        <f>Daten!V30/Daten!V29-1</f>
        <v>-9.4753186052898286E-5</v>
      </c>
      <c r="R88" s="82">
        <f>Daten!W30/Daten!W29-1</f>
        <v>1.6021784347299839E-3</v>
      </c>
      <c r="S88" s="82">
        <f>Daten!X30/Daten!X29-1</f>
        <v>8.4135501313653549E-4</v>
      </c>
      <c r="T88" s="82">
        <f>Daten!Y30/Daten!Y29-1</f>
        <v>3.7667442950284347E-4</v>
      </c>
      <c r="U88" s="82">
        <f>Daten!Z30/Daten!Z29-1</f>
        <v>4.6220206831271149E-4</v>
      </c>
      <c r="V88" s="82">
        <f>Daten!AA30/Daten!AA29-1</f>
        <v>2.3320000000004448E-4</v>
      </c>
      <c r="W88" s="82">
        <f>Daten!AB30/Daten!AB29-1</f>
        <v>2.7442433254365461E-4</v>
      </c>
      <c r="X88" s="82">
        <f>Daten!AC30/Daten!AC29-1</f>
        <v>7.4272691045251804E-4</v>
      </c>
      <c r="Y88" s="82">
        <f>Daten!AD30/Daten!AD29-1</f>
        <v>8.176868724316666E-4</v>
      </c>
      <c r="Z88" s="82">
        <f>Daten!AE30/Daten!AE29-1</f>
        <v>6.2945545648740442E-4</v>
      </c>
      <c r="AA88" s="82">
        <f>Daten!AF30/Daten!AF29-1</f>
        <v>3.35336948193099E-4</v>
      </c>
      <c r="AB88" s="82">
        <f>Daten!AG30/Daten!AG29-1</f>
        <v>5.5226051082279959E-4</v>
      </c>
      <c r="AC88" s="82">
        <f>Daten!AH30/Daten!AH29-1</f>
        <v>2.6520000000007649E-4</v>
      </c>
      <c r="AD88" s="82">
        <f>Daten!AI30/Daten!AI29-1</f>
        <v>7.9971683740454047E-4</v>
      </c>
      <c r="AE88" s="82">
        <f>Daten!AJ30/Daten!AJ29-1</f>
        <v>-1.7858229646409152E-3</v>
      </c>
      <c r="AF88" s="82">
        <f>Daten!AK30/Daten!AK29-1</f>
        <v>4.4938810296790699E-4</v>
      </c>
      <c r="AG88" s="82">
        <f>Daten!AL30/Daten!AL29-1</f>
        <v>7.0229107719170791E-3</v>
      </c>
      <c r="AH88" s="82">
        <f>Daten!AM30/Daten!AM29-1</f>
        <v>7.5044250298406112E-4</v>
      </c>
      <c r="AI88" s="82">
        <f>Daten!AN30/Daten!AN29-1</f>
        <v>5.8915842895768122E-4</v>
      </c>
      <c r="AJ88" s="82">
        <f>Daten!AO30/Daten!AO29-1</f>
        <v>7.0207460147120315E-4</v>
      </c>
      <c r="AK88" s="82">
        <f>Daten!AP30/Daten!AP29-1</f>
        <v>1.2903061145166372E-3</v>
      </c>
      <c r="AL88" s="82">
        <f>Daten!AQ30/Daten!AQ29-1</f>
        <v>2.5000000000008349E-4</v>
      </c>
      <c r="AM88" s="82">
        <f>Daten!AR30/Daten!AR29-1</f>
        <v>1.0422416676321156E-3</v>
      </c>
      <c r="AN88" s="82">
        <f>Daten!AS30/Daten!AS29-1</f>
        <v>4.8177852267761168E-4</v>
      </c>
      <c r="AO88" s="82">
        <f>Daten!AT30/Daten!AT29-1</f>
        <v>2.3118146810419127E-4</v>
      </c>
      <c r="AP88" s="82">
        <f>Daten!AU30/Daten!AU29-1</f>
        <v>9.976441834143035E-4</v>
      </c>
      <c r="AQ88" s="82">
        <f>Daten!AV30/Daten!AV29-1</f>
        <v>8.3387363503129031E-4</v>
      </c>
      <c r="AR88" s="82">
        <f>Daten!AW30/Daten!AW29-1</f>
        <v>6.1366332467116536E-4</v>
      </c>
      <c r="AS88" s="82">
        <f>Daten!AX30/Daten!AX29-1</f>
        <v>4.766836708935962E-4</v>
      </c>
      <c r="AT88" s="82">
        <f>Daten!AY30/Daten!AY29-1</f>
        <v>3.3511086197202111E-4</v>
      </c>
      <c r="AU88" s="82">
        <f>Daten!AZ30/Daten!AZ29-1</f>
        <v>2.452969324766574E-4</v>
      </c>
      <c r="AV88" s="82">
        <f>Daten!BA30/Daten!BA29-1</f>
        <v>1.6810843533843212E-4</v>
      </c>
      <c r="AW88" s="82">
        <f>Daten!BB30/Daten!BB29-1</f>
        <v>9.6407928228514628E-4</v>
      </c>
      <c r="AX88" s="82">
        <f>Daten!BC30/Daten!BC29-1</f>
        <v>4.2069982785220006E-4</v>
      </c>
      <c r="AY88" s="82">
        <f t="shared" si="4"/>
        <v>7.0711531359276257E-4</v>
      </c>
    </row>
    <row r="89" spans="1:51" x14ac:dyDescent="0.45">
      <c r="A89" s="82">
        <f>Daten!F31/Daten!F30-1</f>
        <v>2.4790417167541712E-4</v>
      </c>
      <c r="B89" s="82">
        <f>Daten!G31/Daten!G30-1</f>
        <v>1.3162711555092521E-4</v>
      </c>
      <c r="C89" s="82">
        <f>Daten!H31/Daten!H30-1</f>
        <v>3.5429422395871768E-4</v>
      </c>
      <c r="D89" s="82">
        <f>Daten!I31/Daten!I30-1</f>
        <v>4.9237834912618794E-4</v>
      </c>
      <c r="E89" s="82">
        <f>Daten!J31/Daten!J30-1</f>
        <v>1.6719999999992297E-4</v>
      </c>
      <c r="F89" s="82">
        <f>Daten!K31/Daten!K30-1</f>
        <v>-3.5837124797888364E-4</v>
      </c>
      <c r="G89" s="82">
        <f>Daten!L31/Daten!L30-1</f>
        <v>3.3845002001120505E-4</v>
      </c>
      <c r="H89" s="82">
        <f>Daten!M31/Daten!M30-1</f>
        <v>-7.6383889218600842E-5</v>
      </c>
      <c r="I89" s="82">
        <f>Daten!N31/Daten!N30-1</f>
        <v>5.6530435649837507E-4</v>
      </c>
      <c r="J89" s="82">
        <f>Daten!O31/Daten!O30-1</f>
        <v>1.9539226576070767E-4</v>
      </c>
      <c r="K89" s="82">
        <f>Daten!P31/Daten!P30-1</f>
        <v>5.0334754991609998E-4</v>
      </c>
      <c r="L89" s="82">
        <f>Daten!Q31/Daten!Q30-1</f>
        <v>4.7591358412035767E-4</v>
      </c>
      <c r="M89" s="82">
        <f>Daten!R31/Daten!R30-1</f>
        <v>-1.4684391324015778E-4</v>
      </c>
      <c r="N89" s="82">
        <f>Daten!S31/Daten!S30-1</f>
        <v>2.1599999999999397E-4</v>
      </c>
      <c r="O89" s="82">
        <f>Daten!T31/Daten!T30-1</f>
        <v>1.8199999999990446E-4</v>
      </c>
      <c r="P89" s="82">
        <f>Daten!U31/Daten!U30-1</f>
        <v>5.4970873838033896E-4</v>
      </c>
      <c r="Q89" s="82">
        <f>Daten!V31/Daten!V30-1</f>
        <v>-5.8535750558519339E-4</v>
      </c>
      <c r="R89" s="82">
        <f>Daten!W31/Daten!W30-1</f>
        <v>-5.4902707416870644E-4</v>
      </c>
      <c r="S89" s="82">
        <f>Daten!X31/Daten!X30-1</f>
        <v>-2.3349373600300982E-4</v>
      </c>
      <c r="T89" s="82">
        <f>Daten!Y31/Daten!Y30-1</f>
        <v>-2.5601240885675391E-4</v>
      </c>
      <c r="U89" s="82">
        <f>Daten!Z31/Daten!Z30-1</f>
        <v>1.9798044648067226E-4</v>
      </c>
      <c r="V89" s="82">
        <f>Daten!AA31/Daten!AA30-1</f>
        <v>2.3320000000004448E-4</v>
      </c>
      <c r="W89" s="82">
        <f>Daten!AB31/Daten!AB30-1</f>
        <v>5.5054877587501494E-5</v>
      </c>
      <c r="X89" s="82">
        <f>Daten!AC31/Daten!AC30-1</f>
        <v>2.3248833167821559E-4</v>
      </c>
      <c r="Y89" s="82">
        <f>Daten!AD31/Daten!AD30-1</f>
        <v>-2.8834520212750459E-4</v>
      </c>
      <c r="Z89" s="82">
        <f>Daten!AE31/Daten!AE30-1</f>
        <v>-3.7432243287405242E-4</v>
      </c>
      <c r="AA89" s="82">
        <f>Daten!AF31/Daten!AF30-1</f>
        <v>7.4542897942286857E-4</v>
      </c>
      <c r="AB89" s="82">
        <f>Daten!AG31/Daten!AG30-1</f>
        <v>3.0662656301227997E-4</v>
      </c>
      <c r="AC89" s="82">
        <f>Daten!AH31/Daten!AH30-1</f>
        <v>-1.7876075618772358E-4</v>
      </c>
      <c r="AD89" s="82">
        <f>Daten!AI31/Daten!AI30-1</f>
        <v>-2.1937182177356185E-4</v>
      </c>
      <c r="AE89" s="82">
        <f>Daten!AJ31/Daten!AJ30-1</f>
        <v>4.00107827032814E-4</v>
      </c>
      <c r="AF89" s="82">
        <f>Daten!AK31/Daten!AK30-1</f>
        <v>1.8811468150015109E-4</v>
      </c>
      <c r="AG89" s="82">
        <f>Daten!AL31/Daten!AL30-1</f>
        <v>-1.5174807169781035E-3</v>
      </c>
      <c r="AH89" s="82">
        <f>Daten!AM31/Daten!AM30-1</f>
        <v>8.1216014478124876E-4</v>
      </c>
      <c r="AI89" s="82">
        <f>Daten!AN31/Daten!AN30-1</f>
        <v>6.7652998300138378E-5</v>
      </c>
      <c r="AJ89" s="82">
        <f>Daten!AO31/Daten!AO30-1</f>
        <v>-9.1272163985633981E-6</v>
      </c>
      <c r="AK89" s="82">
        <f>Daten!AP31/Daten!AP30-1</f>
        <v>9.0431736121154849E-4</v>
      </c>
      <c r="AL89" s="82">
        <f>Daten!AQ31/Daten!AQ30-1</f>
        <v>-1.007221287036586E-2</v>
      </c>
      <c r="AM89" s="82">
        <f>Daten!AR31/Daten!AR30-1</f>
        <v>6.1696008095091237E-4</v>
      </c>
      <c r="AN89" s="82">
        <f>Daten!AS31/Daten!AS30-1</f>
        <v>-8.1028332628463318E-5</v>
      </c>
      <c r="AO89" s="82">
        <f>Daten!AT31/Daten!AT30-1</f>
        <v>3.183104506254697E-4</v>
      </c>
      <c r="AP89" s="82">
        <f>Daten!AU31/Daten!AU30-1</f>
        <v>5.0485358523588708E-4</v>
      </c>
      <c r="AQ89" s="82">
        <f>Daten!AV31/Daten!AV30-1</f>
        <v>4.9848318073242304E-4</v>
      </c>
      <c r="AR89" s="82">
        <f>Daten!AW31/Daten!AW30-1</f>
        <v>5.7863218455200816E-4</v>
      </c>
      <c r="AS89" s="82">
        <f>Daten!AX31/Daten!AX30-1</f>
        <v>3.7717083850252742E-4</v>
      </c>
      <c r="AT89" s="82">
        <f>Daten!AY31/Daten!AY30-1</f>
        <v>2.5041589080876392E-4</v>
      </c>
      <c r="AU89" s="82">
        <f>Daten!AZ31/Daten!AZ30-1</f>
        <v>3.1207037421476791E-4</v>
      </c>
      <c r="AV89" s="82">
        <f>Daten!BA31/Daten!BA30-1</f>
        <v>1.1519999999998198E-4</v>
      </c>
      <c r="AW89" s="82">
        <f>Daten!BB31/Daten!BB30-1</f>
        <v>2.3485307437520753E-4</v>
      </c>
      <c r="AX89" s="82">
        <f>Daten!BC31/Daten!BC30-1</f>
        <v>2.0476828013138437E-4</v>
      </c>
      <c r="AY89" s="82">
        <f t="shared" si="4"/>
        <v>-5.3462709590318061E-5</v>
      </c>
    </row>
    <row r="90" spans="1:51" x14ac:dyDescent="0.45">
      <c r="A90" s="82">
        <f>Daten!F32/Daten!F31-1</f>
        <v>-2.358335235691511E-4</v>
      </c>
      <c r="B90" s="82">
        <f>Daten!G32/Daten!G31-1</f>
        <v>-2.9637997228260105E-4</v>
      </c>
      <c r="C90" s="82">
        <f>Daten!H32/Daten!H31-1</f>
        <v>-7.223832978607847E-4</v>
      </c>
      <c r="D90" s="82">
        <f>Daten!I32/Daten!I31-1</f>
        <v>-1.1535590226285919E-3</v>
      </c>
      <c r="E90" s="82">
        <f>Daten!J32/Daten!J31-1</f>
        <v>2.105622367594151E-4</v>
      </c>
      <c r="F90" s="82">
        <f>Daten!K32/Daten!K31-1</f>
        <v>2.2839999999990646E-4</v>
      </c>
      <c r="G90" s="82">
        <f>Daten!L32/Daten!L31-1</f>
        <v>-4.4147768263591569E-4</v>
      </c>
      <c r="H90" s="82">
        <f>Daten!M32/Daten!M31-1</f>
        <v>-2.4385847305052888E-4</v>
      </c>
      <c r="I90" s="82">
        <f>Daten!N32/Daten!N31-1</f>
        <v>-1.281842120602894E-4</v>
      </c>
      <c r="J90" s="82">
        <f>Daten!O32/Daten!O31-1</f>
        <v>-2.4550222496724228E-3</v>
      </c>
      <c r="K90" s="82">
        <f>Daten!P32/Daten!P31-1</f>
        <v>5.8823205355418295E-4</v>
      </c>
      <c r="L90" s="82">
        <f>Daten!Q32/Daten!Q31-1</f>
        <v>-3.6424664706524723E-4</v>
      </c>
      <c r="M90" s="82">
        <f>Daten!R32/Daten!R31-1</f>
        <v>-2.9906906841092873E-4</v>
      </c>
      <c r="N90" s="82">
        <f>Daten!S32/Daten!S31-1</f>
        <v>-7.6749914626250693E-5</v>
      </c>
      <c r="O90" s="82">
        <f>Daten!T32/Daten!T31-1</f>
        <v>-6.7798935409046912E-4</v>
      </c>
      <c r="P90" s="82">
        <f>Daten!U32/Daten!U31-1</f>
        <v>-1.3430881118731142E-3</v>
      </c>
      <c r="Q90" s="82">
        <f>Daten!V32/Daten!V31-1</f>
        <v>-2.5931318177774276E-4</v>
      </c>
      <c r="R90" s="82">
        <f>Daten!W32/Daten!W31-1</f>
        <v>1.8199999999990446E-4</v>
      </c>
      <c r="S90" s="82">
        <f>Daten!X32/Daten!X31-1</f>
        <v>-1.2287280760561181E-3</v>
      </c>
      <c r="T90" s="82">
        <f>Daten!Y32/Daten!Y31-1</f>
        <v>-7.2151476302728668E-4</v>
      </c>
      <c r="U90" s="82">
        <f>Daten!Z32/Daten!Z31-1</f>
        <v>1.2981534874079159E-4</v>
      </c>
      <c r="V90" s="82">
        <f>Daten!AA32/Daten!AA31-1</f>
        <v>2.3320000000004448E-4</v>
      </c>
      <c r="W90" s="82">
        <f>Daten!AB32/Daten!AB31-1</f>
        <v>-2.0835787795814298E-4</v>
      </c>
      <c r="X90" s="82">
        <f>Daten!AC32/Daten!AC31-1</f>
        <v>-6.1798996683348761E-4</v>
      </c>
      <c r="Y90" s="82">
        <f>Daten!AD32/Daten!AD31-1</f>
        <v>-1.5590993448466595E-4</v>
      </c>
      <c r="Z90" s="82">
        <f>Daten!AE32/Daten!AE31-1</f>
        <v>-9.7915675396764712E-4</v>
      </c>
      <c r="AA90" s="82">
        <f>Daten!AF32/Daten!AF31-1</f>
        <v>1.2999999999996348E-4</v>
      </c>
      <c r="AB90" s="82">
        <f>Daten!AG32/Daten!AG31-1</f>
        <v>-1.0042202011300017E-3</v>
      </c>
      <c r="AC90" s="82">
        <f>Daten!AH32/Daten!AH31-1</f>
        <v>3.4595390166503037E-4</v>
      </c>
      <c r="AD90" s="82">
        <f>Daten!AI32/Daten!AI31-1</f>
        <v>-3.8989872741468368E-4</v>
      </c>
      <c r="AE90" s="82">
        <f>Daten!AJ32/Daten!AJ31-1</f>
        <v>8.0771245982491635E-5</v>
      </c>
      <c r="AF90" s="82">
        <f>Daten!AK32/Daten!AK31-1</f>
        <v>1.4453927136970357E-4</v>
      </c>
      <c r="AG90" s="82">
        <f>Daten!AL32/Daten!AL31-1</f>
        <v>-2.5357263071082992E-3</v>
      </c>
      <c r="AH90" s="82">
        <f>Daten!AM32/Daten!AM31-1</f>
        <v>2.9022955543034357E-4</v>
      </c>
      <c r="AI90" s="82">
        <f>Daten!AN32/Daten!AN31-1</f>
        <v>8.9273237275055983E-4</v>
      </c>
      <c r="AJ90" s="82">
        <f>Daten!AO32/Daten!AO31-1</f>
        <v>-5.9560309153650071E-4</v>
      </c>
      <c r="AK90" s="82">
        <f>Daten!AP32/Daten!AP31-1</f>
        <v>-1.252043391452573E-3</v>
      </c>
      <c r="AL90" s="82">
        <f>Daten!AQ32/Daten!AQ31-1</f>
        <v>4.3456620297346316E-3</v>
      </c>
      <c r="AM90" s="82">
        <f>Daten!AR32/Daten!AR31-1</f>
        <v>2.7759707934293942E-4</v>
      </c>
      <c r="AN90" s="82">
        <f>Daten!AS32/Daten!AS31-1</f>
        <v>-8.305970502497928E-7</v>
      </c>
      <c r="AO90" s="82">
        <f>Daten!AT32/Daten!AT31-1</f>
        <v>-2.9190737565365499E-4</v>
      </c>
      <c r="AP90" s="82">
        <f>Daten!AU32/Daten!AU31-1</f>
        <v>-1.3537599400417211E-3</v>
      </c>
      <c r="AQ90" s="82">
        <f>Daten!AV32/Daten!AV31-1</f>
        <v>-1.2762138409274648E-3</v>
      </c>
      <c r="AR90" s="82">
        <f>Daten!AW32/Daten!AW31-1</f>
        <v>-1.5019934104407717E-3</v>
      </c>
      <c r="AS90" s="82">
        <f>Daten!AX32/Daten!AX31-1</f>
        <v>-1.3048992328941189E-3</v>
      </c>
      <c r="AT90" s="82">
        <f>Daten!AY32/Daten!AY31-1</f>
        <v>-6.4330958200398136E-4</v>
      </c>
      <c r="AU90" s="82">
        <f>Daten!AZ32/Daten!AZ31-1</f>
        <v>-4.6051548270797937E-4</v>
      </c>
      <c r="AV90" s="82">
        <f>Daten!BA32/Daten!BA31-1</f>
        <v>-2.8177046670496697E-4</v>
      </c>
      <c r="AW90" s="82">
        <f>Daten!BB32/Daten!BB31-1</f>
        <v>-5.8000303503169537E-4</v>
      </c>
      <c r="AX90" s="82">
        <f>Daten!BC32/Daten!BC31-1</f>
        <v>-1.4066810798341045E-4</v>
      </c>
      <c r="AY90" s="82">
        <f t="shared" si="4"/>
        <v>-3.6544176030845713E-4</v>
      </c>
    </row>
    <row r="91" spans="1:51" x14ac:dyDescent="0.45">
      <c r="A91" s="82">
        <f>Daten!F33/Daten!F32-1</f>
        <v>2.9195239049673027E-4</v>
      </c>
      <c r="B91" s="82">
        <f>Daten!G33/Daten!G32-1</f>
        <v>3.0284515751022312E-4</v>
      </c>
      <c r="C91" s="82">
        <f>Daten!H33/Daten!H32-1</f>
        <v>9.582375697880785E-5</v>
      </c>
      <c r="D91" s="82">
        <f>Daten!I33/Daten!I32-1</f>
        <v>5.821845964171235E-4</v>
      </c>
      <c r="E91" s="82">
        <f>Daten!J33/Daten!J32-1</f>
        <v>2.1055790767876559E-4</v>
      </c>
      <c r="F91" s="82">
        <f>Daten!K33/Daten!K32-1</f>
        <v>1.0245404280946335E-3</v>
      </c>
      <c r="G91" s="82">
        <f>Daten!L33/Daten!L32-1</f>
        <v>4.2530850162814104E-4</v>
      </c>
      <c r="H91" s="82">
        <f>Daten!M33/Daten!M32-1</f>
        <v>2.1599999999999397E-4</v>
      </c>
      <c r="I91" s="82">
        <f>Daten!N33/Daten!N32-1</f>
        <v>4.7858421206026236E-4</v>
      </c>
      <c r="J91" s="82">
        <f>Daten!O33/Daten!O32-1</f>
        <v>6.4035387192129534E-5</v>
      </c>
      <c r="K91" s="82">
        <f>Daten!P33/Daten!P32-1</f>
        <v>2.4773827143831362E-4</v>
      </c>
      <c r="L91" s="82">
        <f>Daten!Q33/Daten!Q32-1</f>
        <v>1.7096134055312184E-3</v>
      </c>
      <c r="M91" s="82">
        <f>Daten!R33/Daten!R32-1</f>
        <v>1.1812222894591606E-4</v>
      </c>
      <c r="N91" s="82">
        <f>Daten!S33/Daten!S32-1</f>
        <v>5.0874991462612762E-4</v>
      </c>
      <c r="O91" s="82">
        <f>Daten!T33/Daten!T32-1</f>
        <v>5.6920596325182871E-4</v>
      </c>
      <c r="P91" s="82">
        <f>Daten!U33/Daten!U32-1</f>
        <v>2.3578532137344954E-3</v>
      </c>
      <c r="Q91" s="82">
        <f>Daten!V33/Daten!V32-1</f>
        <v>1.0494806219560893E-3</v>
      </c>
      <c r="R91" s="82">
        <f>Daten!W33/Daten!W32-1</f>
        <v>5.6916760893410689E-4</v>
      </c>
      <c r="S91" s="82">
        <f>Daten!X33/Daten!X32-1</f>
        <v>8.0175224406131562E-4</v>
      </c>
      <c r="T91" s="82">
        <f>Daten!Y33/Daten!Y32-1</f>
        <v>1.6858398263719376E-3</v>
      </c>
      <c r="U91" s="82">
        <f>Daten!Z33/Daten!Z32-1</f>
        <v>-4.4934954826048035E-5</v>
      </c>
      <c r="V91" s="82">
        <f>Daten!AA33/Daten!AA32-1</f>
        <v>2.3320000000004448E-4</v>
      </c>
      <c r="W91" s="82">
        <f>Daten!AB33/Daten!AB32-1</f>
        <v>3.6230694523586848E-4</v>
      </c>
      <c r="X91" s="82">
        <f>Daten!AC33/Daten!AC32-1</f>
        <v>8.2801169385993134E-4</v>
      </c>
      <c r="Y91" s="82">
        <f>Daten!AD33/Daten!AD32-1</f>
        <v>4.1965062418869437E-4</v>
      </c>
      <c r="Z91" s="82">
        <f>Daten!AE33/Daten!AE32-1</f>
        <v>1.0733619131122474E-3</v>
      </c>
      <c r="AA91" s="82">
        <f>Daten!AF33/Daten!AF32-1</f>
        <v>-1.7532611566595246E-4</v>
      </c>
      <c r="AB91" s="82">
        <f>Daten!AG33/Daten!AG32-1</f>
        <v>1.1264214054489408E-3</v>
      </c>
      <c r="AC91" s="82">
        <f>Daten!AH33/Daten!AH32-1</f>
        <v>4.2666277048275525E-4</v>
      </c>
      <c r="AD91" s="82">
        <f>Daten!AI33/Daten!AI32-1</f>
        <v>2.4773410530820605E-4</v>
      </c>
      <c r="AE91" s="82">
        <f>Daten!AJ33/Daten!AJ32-1</f>
        <v>1.3564816457509732E-3</v>
      </c>
      <c r="AF91" s="82">
        <f>Daten!AK33/Daten!AK32-1</f>
        <v>9.2811089506561473E-4</v>
      </c>
      <c r="AG91" s="82">
        <f>Daten!AL33/Daten!AL32-1</f>
        <v>2.9329445801906662E-3</v>
      </c>
      <c r="AH91" s="82">
        <f>Daten!AM33/Daten!AM32-1</f>
        <v>1.6178157271529159E-4</v>
      </c>
      <c r="AI91" s="82">
        <f>Daten!AN33/Daten!AN32-1</f>
        <v>8.0498050677491051E-4</v>
      </c>
      <c r="AJ91" s="82">
        <f>Daten!AO33/Daten!AO32-1</f>
        <v>5.3516843793843805E-4</v>
      </c>
      <c r="AK91" s="82">
        <f>Daten!AP33/Daten!AP32-1</f>
        <v>-1.8826476897835231E-3</v>
      </c>
      <c r="AL91" s="82">
        <f>Daten!AQ33/Daten!AQ32-1</f>
        <v>9.5566664598418782E-3</v>
      </c>
      <c r="AM91" s="82">
        <f>Daten!AR33/Daten!AR32-1</f>
        <v>5.7422771581450149E-4</v>
      </c>
      <c r="AN91" s="82">
        <f>Daten!AS33/Daten!AS32-1</f>
        <v>3.2104412567446339E-4</v>
      </c>
      <c r="AO91" s="82">
        <f>Daten!AT33/Daten!AT32-1</f>
        <v>4.4918109706570952E-4</v>
      </c>
      <c r="AP91" s="82">
        <f>Daten!AU33/Daten!AU32-1</f>
        <v>-2.8093663523298673E-4</v>
      </c>
      <c r="AQ91" s="82">
        <f>Daten!AV33/Daten!AV32-1</f>
        <v>-2.5464342952963293E-4</v>
      </c>
      <c r="AR91" s="82">
        <f>Daten!AW33/Daten!AW32-1</f>
        <v>-4.859946407897997E-5</v>
      </c>
      <c r="AS91" s="82">
        <f>Daten!AX33/Daten!AX32-1</f>
        <v>-1.0412061290832053E-4</v>
      </c>
      <c r="AT91" s="82">
        <f>Daten!AY33/Daten!AY32-1</f>
        <v>1.7423993558418616E-4</v>
      </c>
      <c r="AU91" s="82">
        <f>Daten!AZ33/Daten!AZ32-1</f>
        <v>1.1577869919432437E-4</v>
      </c>
      <c r="AV91" s="82">
        <f>Daten!BA33/Daten!BA32-1</f>
        <v>4.4589469197386933E-5</v>
      </c>
      <c r="AW91" s="82">
        <f>Daten!BB33/Daten!BB32-1</f>
        <v>6.6394267928404638E-4</v>
      </c>
      <c r="AX91" s="82">
        <f>Daten!BC33/Daten!BC32-1</f>
        <v>2.4798378584489633E-4</v>
      </c>
      <c r="AY91" s="82">
        <f t="shared" si="4"/>
        <v>6.900135797542849E-4</v>
      </c>
    </row>
    <row r="92" spans="1:51" x14ac:dyDescent="0.45">
      <c r="A92" s="82">
        <f>Daten!F34/Daten!F33-1</f>
        <v>2.8032715538195419E-5</v>
      </c>
      <c r="B92" s="82">
        <f>Daten!G34/Daten!G33-1</f>
        <v>-8.2528314673480097E-5</v>
      </c>
      <c r="C92" s="82">
        <f>Daten!H34/Daten!H33-1</f>
        <v>4.8391395636215861E-4</v>
      </c>
      <c r="D92" s="82">
        <f>Daten!I34/Daten!I33-1</f>
        <v>-3.0858459641702751E-4</v>
      </c>
      <c r="E92" s="82">
        <f>Daten!J34/Daten!J33-1</f>
        <v>2.1055357946231368E-4</v>
      </c>
      <c r="F92" s="82">
        <f>Daten!K34/Daten!K33-1</f>
        <v>1.0230836286935219E-3</v>
      </c>
      <c r="G92" s="82">
        <f>Daten!L34/Daten!L33-1</f>
        <v>1.2185940000364326E-4</v>
      </c>
      <c r="H92" s="82">
        <f>Daten!M34/Daten!M33-1</f>
        <v>6.7585847305062785E-4</v>
      </c>
      <c r="I92" s="82">
        <f>Daten!N34/Daten!N33-1</f>
        <v>2.1852330612626147E-4</v>
      </c>
      <c r="J92" s="82">
        <f>Daten!O34/Daten!O33-1</f>
        <v>1.5881498022833895E-3</v>
      </c>
      <c r="K92" s="82">
        <f>Daten!P34/Daten!P33-1</f>
        <v>7.7572684029414418E-5</v>
      </c>
      <c r="L92" s="82">
        <f>Daten!Q34/Daten!Q33-1</f>
        <v>9.6683859186463827E-4</v>
      </c>
      <c r="M92" s="82">
        <f>Daten!R34/Daten!R33-1</f>
        <v>5.7370244727383835E-4</v>
      </c>
      <c r="N92" s="82">
        <f>Daten!S34/Daten!S33-1</f>
        <v>3.8319710770640114E-4</v>
      </c>
      <c r="O92" s="82">
        <f>Daten!T34/Daten!T33-1</f>
        <v>5.2969699896543432E-5</v>
      </c>
      <c r="P92" s="82">
        <f>Daten!U34/Daten!U33-1</f>
        <v>8.0037124797871506E-4</v>
      </c>
      <c r="Q92" s="82">
        <f>Daten!V34/Daten!V33-1</f>
        <v>1.3740513815962974E-3</v>
      </c>
      <c r="R92" s="82">
        <f>Daten!W34/Daten!W33-1</f>
        <v>-2.0516760893418695E-4</v>
      </c>
      <c r="S92" s="82">
        <f>Daten!X34/Daten!X33-1</f>
        <v>1.2973138193819178E-3</v>
      </c>
      <c r="T92" s="82">
        <f>Daten!Y34/Daten!Y33-1</f>
        <v>3.7657622022546633E-4</v>
      </c>
      <c r="U92" s="82">
        <f>Daten!Z34/Daten!Z33-1</f>
        <v>-1.5201955845256521E-5</v>
      </c>
      <c r="V92" s="82">
        <f>Daten!AA34/Daten!AA33-1</f>
        <v>2.3320000000004448E-4</v>
      </c>
      <c r="W92" s="82">
        <f>Daten!AB34/Daten!AB33-1</f>
        <v>1.1109146844656692E-5</v>
      </c>
      <c r="X92" s="82">
        <f>Daten!AC34/Daten!AC33-1</f>
        <v>4.8741833313470373E-4</v>
      </c>
      <c r="Y92" s="82">
        <f>Daten!AD34/Daten!AD33-1</f>
        <v>5.9639026123692318E-4</v>
      </c>
      <c r="Z92" s="82">
        <f>Daten!AE34/Daten!AE33-1</f>
        <v>6.7015278019111335E-4</v>
      </c>
      <c r="AA92" s="82">
        <f>Daten!AF34/Daten!AF33-1</f>
        <v>3.3509344732474133E-4</v>
      </c>
      <c r="AB92" s="82">
        <f>Daten!AG34/Daten!AG33-1</f>
        <v>8.7935096324431861E-4</v>
      </c>
      <c r="AC92" s="82">
        <f>Daten!AH34/Daten!AH33-1</f>
        <v>1.8447611837291156E-4</v>
      </c>
      <c r="AD92" s="82">
        <f>Daten!AI34/Daten!AI33-1</f>
        <v>-7.5121960059210124E-6</v>
      </c>
      <c r="AE92" s="82">
        <f>Daten!AJ34/Daten!AJ33-1</f>
        <v>2.6298030449201093E-4</v>
      </c>
      <c r="AF92" s="82">
        <f>Daten!AK34/Daten!AK33-1</f>
        <v>-1.5996484793545651E-4</v>
      </c>
      <c r="AG92" s="82">
        <f>Daten!AL34/Daten!AL33-1</f>
        <v>3.5477492493607432E-3</v>
      </c>
      <c r="AH92" s="82">
        <f>Daten!AM34/Daten!AM33-1</f>
        <v>2.0069663614696864E-4</v>
      </c>
      <c r="AI92" s="82">
        <f>Daten!AN34/Daten!AN33-1</f>
        <v>1.2797882390680471E-3</v>
      </c>
      <c r="AJ92" s="82">
        <f>Daten!AO34/Daten!AO33-1</f>
        <v>8.6956186999653795E-4</v>
      </c>
      <c r="AK92" s="82">
        <f>Daten!AP34/Daten!AP33-1</f>
        <v>2.6383170309858262E-3</v>
      </c>
      <c r="AL92" s="82">
        <f>Daten!AQ34/Daten!AQ33-1</f>
        <v>1.9653704757274237E-3</v>
      </c>
      <c r="AM92" s="82">
        <f>Daten!AR34/Daten!AR33-1</f>
        <v>2.0107664019444194E-3</v>
      </c>
      <c r="AN92" s="82">
        <f>Daten!AS34/Daten!AS33-1</f>
        <v>7.6343885156560098E-4</v>
      </c>
      <c r="AO92" s="82">
        <f>Daten!AT34/Daten!AT33-1</f>
        <v>-3.0362937965211501E-5</v>
      </c>
      <c r="AP92" s="82">
        <f>Daten!AU34/Daten!AU33-1</f>
        <v>1.4153171110884433E-3</v>
      </c>
      <c r="AQ92" s="82">
        <f>Daten!AV34/Daten!AV33-1</f>
        <v>1.2269517030616406E-3</v>
      </c>
      <c r="AR92" s="82">
        <f>Daten!AW34/Daten!AW33-1</f>
        <v>9.1787297730716588E-4</v>
      </c>
      <c r="AS92" s="82">
        <f>Daten!AX34/Daten!AX33-1</f>
        <v>5.9166619558692624E-4</v>
      </c>
      <c r="AT92" s="82">
        <f>Daten!AY34/Daten!AY33-1</f>
        <v>2.5055091229275739E-4</v>
      </c>
      <c r="AU92" s="82">
        <f>Daten!AZ34/Daten!AZ33-1</f>
        <v>3.0805750383655628E-4</v>
      </c>
      <c r="AV92" s="82">
        <f>Daten!BA34/Daten!BA33-1</f>
        <v>2.3434861209414848E-4</v>
      </c>
      <c r="AW92" s="82">
        <f>Daten!BB34/Daten!BB33-1</f>
        <v>6.6343038141125632E-4</v>
      </c>
      <c r="AX92" s="82">
        <f>Daten!BC34/Daten!BC33-1</f>
        <v>1.1841025485948009E-4</v>
      </c>
      <c r="AY92" s="82">
        <f t="shared" si="4"/>
        <v>6.5464650304763213E-4</v>
      </c>
    </row>
    <row r="93" spans="1:51" x14ac:dyDescent="0.45">
      <c r="A93" s="82">
        <f>Daten!F35/Daten!F34-1</f>
        <v>-1.5984344399422312E-5</v>
      </c>
      <c r="B93" s="82">
        <f>Daten!G35/Daten!G34-1</f>
        <v>3.0288315716298086E-4</v>
      </c>
      <c r="C93" s="82">
        <f>Daten!H35/Daten!H34-1</f>
        <v>5.2683828898469898E-4</v>
      </c>
      <c r="D93" s="82">
        <f>Daten!I35/Daten!I34-1</f>
        <v>5.821845964171235E-4</v>
      </c>
      <c r="E93" s="82">
        <f>Daten!J35/Daten!J34-1</f>
        <v>2.1054925210983733E-4</v>
      </c>
      <c r="F93" s="82">
        <f>Daten!K35/Daten!K34-1</f>
        <v>8.1302727546228581E-4</v>
      </c>
      <c r="G93" s="82">
        <f>Daten!L35/Daten!L34-1</f>
        <v>7.8505822268537528E-5</v>
      </c>
      <c r="H93" s="82">
        <f>Daten!M35/Daten!M34-1</f>
        <v>1.3242557813075706E-4</v>
      </c>
      <c r="I93" s="82">
        <f>Daten!N35/Daten!N34-1</f>
        <v>1.7519999999993097E-4</v>
      </c>
      <c r="J93" s="82">
        <f>Daten!O35/Daten!O34-1</f>
        <v>5.8620388228547426E-4</v>
      </c>
      <c r="K93" s="82">
        <f>Daten!P35/Daten!P34-1</f>
        <v>-2.6308797370966364E-4</v>
      </c>
      <c r="L93" s="82">
        <f>Daten!Q35/Daten!Q34-1</f>
        <v>1.2999999999996348E-4</v>
      </c>
      <c r="M93" s="82">
        <f>Daten!R35/Daten!R34-1</f>
        <v>3.4589243914506795E-4</v>
      </c>
      <c r="N93" s="82">
        <f>Daten!S35/Daten!S34-1</f>
        <v>3.8313276400359086E-4</v>
      </c>
      <c r="O93" s="82">
        <f>Daten!T35/Daten!T34-1</f>
        <v>4.4002227627149004E-4</v>
      </c>
      <c r="P93" s="82">
        <f>Daten!U35/Daten!U34-1</f>
        <v>1.2982405801498231E-4</v>
      </c>
      <c r="Q93" s="82">
        <f>Daten!V35/Daten!V34-1</f>
        <v>4.7602050090977954E-4</v>
      </c>
      <c r="R93" s="82">
        <f>Daten!W35/Daten!W34-1</f>
        <v>4.401500860058416E-4</v>
      </c>
      <c r="S93" s="82">
        <f>Daten!X35/Daten!X34-1</f>
        <v>3.4519557026491121E-4</v>
      </c>
      <c r="T93" s="82">
        <f>Daten!Y35/Daten!Y34-1</f>
        <v>-1.7138855478737725E-4</v>
      </c>
      <c r="U93" s="82">
        <f>Daten!Z35/Daten!Z34-1</f>
        <v>3.0459953429118336E-4</v>
      </c>
      <c r="V93" s="82">
        <f>Daten!AA35/Daten!AA34-1</f>
        <v>2.3320000000004448E-4</v>
      </c>
      <c r="W93" s="82">
        <f>Daten!AB35/Daten!AB34-1</f>
        <v>1.8670138815002346E-4</v>
      </c>
      <c r="X93" s="82">
        <f>Daten!AC35/Daten!AC34-1</f>
        <v>1.4752413494556471E-4</v>
      </c>
      <c r="Y93" s="82">
        <f>Daten!AD35/Daten!AD34-1</f>
        <v>2.4242400150731314E-4</v>
      </c>
      <c r="Z93" s="82">
        <f>Daten!AE35/Daten!AE34-1</f>
        <v>4.2882982179981433E-4</v>
      </c>
      <c r="AA93" s="82">
        <f>Daten!AF35/Daten!AF34-1</f>
        <v>4.8071317847164785E-4</v>
      </c>
      <c r="AB93" s="82">
        <f>Daten!AG35/Daten!AG34-1</f>
        <v>1.8391945383133823E-4</v>
      </c>
      <c r="AC93" s="82">
        <f>Daten!AH35/Daten!AH34-1</f>
        <v>7.8963722547098492E-4</v>
      </c>
      <c r="AD93" s="82">
        <f>Daten!AI35/Daten!AI34-1</f>
        <v>2.9029738087427148E-4</v>
      </c>
      <c r="AE93" s="82">
        <f>Daten!AJ35/Daten!AJ34-1</f>
        <v>-5.5637666029850763E-4</v>
      </c>
      <c r="AF93" s="82">
        <f>Daten!AK35/Daten!AK34-1</f>
        <v>9.7125461263125601E-4</v>
      </c>
      <c r="AG93" s="82">
        <f>Daten!AL35/Daten!AL34-1</f>
        <v>-3.7353625307212646E-5</v>
      </c>
      <c r="AH93" s="82">
        <f>Daten!AM35/Daten!AM34-1</f>
        <v>3.8366127582967202E-4</v>
      </c>
      <c r="AI93" s="82">
        <f>Daten!AN35/Daten!AN34-1</f>
        <v>2.4121553134603957E-4</v>
      </c>
      <c r="AJ93" s="82">
        <f>Daten!AO35/Daten!AO34-1</f>
        <v>6.5972571303740679E-4</v>
      </c>
      <c r="AK93" s="82">
        <f>Daten!AP35/Daten!AP34-1</f>
        <v>1.1434160183354525E-3</v>
      </c>
      <c r="AL93" s="82">
        <f>Daten!AQ35/Daten!AQ34-1</f>
        <v>-1.077203693556894E-2</v>
      </c>
      <c r="AM93" s="82">
        <f>Daten!AR35/Daten!AR34-1</f>
        <v>-2.71364383135686E-4</v>
      </c>
      <c r="AN93" s="82">
        <f>Daten!AS35/Daten!AS34-1</f>
        <v>1.6019056199190196E-4</v>
      </c>
      <c r="AO93" s="82">
        <f>Daten!AT35/Daten!AT34-1</f>
        <v>-2.4857275179768212E-4</v>
      </c>
      <c r="AP93" s="82">
        <f>Daten!AU35/Daten!AU34-1</f>
        <v>4.446942342584137E-6</v>
      </c>
      <c r="AQ93" s="82">
        <f>Daten!AV35/Daten!AV34-1</f>
        <v>-9.7251248368013243E-5</v>
      </c>
      <c r="AR93" s="82">
        <f>Daten!AW35/Daten!AW34-1</f>
        <v>-6.9236837196839929E-7</v>
      </c>
      <c r="AS93" s="82">
        <f>Daten!AX35/Daten!AX34-1</f>
        <v>-6.4240313157104545E-5</v>
      </c>
      <c r="AT93" s="82">
        <f>Daten!AY35/Daten!AY34-1</f>
        <v>5.552844395473322E-5</v>
      </c>
      <c r="AU93" s="82">
        <f>Daten!AZ35/Daten!AZ34-1</f>
        <v>4.8897602803243956E-5</v>
      </c>
      <c r="AV93" s="82">
        <f>Daten!BA35/Daten!BA34-1</f>
        <v>1.3705096917338011E-5</v>
      </c>
      <c r="AW93" s="82">
        <f>Daten!BB35/Daten!BB34-1</f>
        <v>2.77659661402474E-4</v>
      </c>
      <c r="AX93" s="82">
        <f>Daten!BC35/Daten!BC34-1</f>
        <v>7.5207622173278921E-5</v>
      </c>
      <c r="AY93" s="82">
        <f t="shared" si="4"/>
        <v>1.9151957858013558E-5</v>
      </c>
    </row>
    <row r="94" spans="1:51" x14ac:dyDescent="0.45">
      <c r="A94" s="82">
        <f>Daten!F36/Daten!F35-1</f>
        <v>-7.2083359964025817E-4</v>
      </c>
      <c r="B94" s="82">
        <f>Daten!G36/Daten!G35-1</f>
        <v>-7.6869370807419735E-4</v>
      </c>
      <c r="C94" s="82">
        <f>Daten!H36/Daten!H35-1</f>
        <v>-3.3515224534674815E-4</v>
      </c>
      <c r="D94" s="82">
        <f>Daten!I36/Daten!I35-1</f>
        <v>-1.1114297130332407E-3</v>
      </c>
      <c r="E94" s="82">
        <f>Daten!J36/Daten!J35-1</f>
        <v>-2.2309912628692974E-4</v>
      </c>
      <c r="F94" s="82">
        <f>Daten!K36/Daten!K35-1</f>
        <v>-3.8384892782056257E-3</v>
      </c>
      <c r="G94" s="82">
        <f>Daten!L36/Daten!L35-1</f>
        <v>-9.6340198741662331E-4</v>
      </c>
      <c r="H94" s="82">
        <f>Daten!M36/Daten!M35-1</f>
        <v>-1.1233826557572879E-3</v>
      </c>
      <c r="I94" s="82">
        <f>Daten!N36/Daten!N35-1</f>
        <v>-8.2233108057094828E-4</v>
      </c>
      <c r="J94" s="82">
        <f>Daten!O36/Daten!O35-1</f>
        <v>-4.5715082089670123E-4</v>
      </c>
      <c r="K94" s="82">
        <f>Daten!P36/Daten!P35-1</f>
        <v>2.9038083422494587E-4</v>
      </c>
      <c r="L94" s="82">
        <f>Daten!Q36/Daten!Q35-1</f>
        <v>-2.1875576597482072E-3</v>
      </c>
      <c r="M94" s="82">
        <f>Daten!R36/Daten!R35-1</f>
        <v>-1.7837652795891223E-3</v>
      </c>
      <c r="N94" s="82">
        <f>Daten!S36/Daten!S35-1</f>
        <v>-1.2905154197607738E-3</v>
      </c>
      <c r="O94" s="82">
        <f>Daten!T36/Daten!T35-1</f>
        <v>-1.4115849516573853E-3</v>
      </c>
      <c r="P94" s="82">
        <f>Daten!U36/Daten!U35-1</f>
        <v>-2.6022738302931003E-3</v>
      </c>
      <c r="Q94" s="82">
        <f>Daten!V36/Daten!V35-1</f>
        <v>-2.0959675541291078E-3</v>
      </c>
      <c r="R94" s="82">
        <f>Daten!W36/Daten!W35-1</f>
        <v>-7.6150086005921658E-5</v>
      </c>
      <c r="S94" s="82">
        <f>Daten!X36/Daten!X35-1</f>
        <v>-2.6396933711114734E-3</v>
      </c>
      <c r="T94" s="82">
        <f>Daten!Y36/Daten!Y35-1</f>
        <v>-1.5245319749588315E-3</v>
      </c>
      <c r="U94" s="82">
        <f>Daten!Z36/Daten!Z35-1</f>
        <v>1.8519999999999648E-4</v>
      </c>
      <c r="V94" s="82">
        <f>Daten!AA36/Daten!AA35-1</f>
        <v>2.3320000000004448E-4</v>
      </c>
      <c r="W94" s="82">
        <f>Daten!AB36/Daten!AB35-1</f>
        <v>-5.6015530880482167E-4</v>
      </c>
      <c r="X94" s="82">
        <f>Daten!AC36/Daten!AC35-1</f>
        <v>-2.7936817457386853E-3</v>
      </c>
      <c r="Y94" s="82">
        <f>Daten!AD36/Daten!AD35-1</f>
        <v>-2.5955504765899917E-3</v>
      </c>
      <c r="Z94" s="82">
        <f>Daten!AE36/Daten!AE35-1</f>
        <v>-2.188109051628917E-3</v>
      </c>
      <c r="AA94" s="82">
        <f>Daten!AF36/Daten!AF35-1</f>
        <v>1.2999999999996348E-4</v>
      </c>
      <c r="AB94" s="82">
        <f>Daten!AG36/Daten!AG35-1</f>
        <v>-2.9346144823281239E-3</v>
      </c>
      <c r="AC94" s="82">
        <f>Daten!AH36/Daten!AH35-1</f>
        <v>-7.0348697834199392E-4</v>
      </c>
      <c r="AD94" s="82">
        <f>Daten!AI36/Daten!AI35-1</f>
        <v>-1.158363072748414E-3</v>
      </c>
      <c r="AE94" s="82">
        <f>Daten!AJ36/Daten!AJ35-1</f>
        <v>-2.4328150343085886E-3</v>
      </c>
      <c r="AF94" s="82">
        <f>Daten!AK36/Daten!AK35-1</f>
        <v>2.7519999999991995E-4</v>
      </c>
      <c r="AG94" s="82">
        <f>Daten!AL36/Daten!AL35-1</f>
        <v>-1.5133421472258712E-3</v>
      </c>
      <c r="AH94" s="82">
        <f>Daten!AM36/Daten!AM35-1</f>
        <v>2.5520000000001097E-4</v>
      </c>
      <c r="AI94" s="82">
        <f>Daten!AN36/Daten!AN35-1</f>
        <v>-2.4460486276038917E-3</v>
      </c>
      <c r="AJ94" s="82">
        <f>Daten!AO36/Daten!AO35-1</f>
        <v>-2.7338669511588476E-3</v>
      </c>
      <c r="AK94" s="82">
        <f>Daten!AP36/Daten!AP35-1</f>
        <v>-1.2511553057404923E-3</v>
      </c>
      <c r="AL94" s="82">
        <f>Daten!AQ36/Daten!AQ35-1</f>
        <v>2.6266174390940922E-3</v>
      </c>
      <c r="AM94" s="82">
        <f>Daten!AR36/Daten!AR35-1</f>
        <v>1.7110310106609461E-3</v>
      </c>
      <c r="AN94" s="82">
        <f>Daten!AS36/Daten!AS35-1</f>
        <v>2.8080000000008098E-4</v>
      </c>
      <c r="AO94" s="82">
        <f>Daten!AT36/Daten!AT35-1</f>
        <v>-4.6737493722948109E-4</v>
      </c>
      <c r="AP94" s="82">
        <f>Daten!AU36/Daten!AU35-1</f>
        <v>1.7000000000000348E-4</v>
      </c>
      <c r="AQ94" s="82">
        <f>Daten!AV36/Daten!AV35-1</f>
        <v>1.5520000000002199E-4</v>
      </c>
      <c r="AR94" s="82">
        <f>Daten!AW36/Daten!AW35-1</f>
        <v>1.5520000000002199E-4</v>
      </c>
      <c r="AS94" s="82">
        <f>Daten!AX36/Daten!AX35-1</f>
        <v>5.0000000000105516E-5</v>
      </c>
      <c r="AT94" s="82">
        <f>Daten!AY36/Daten!AY35-1</f>
        <v>1.7000000000000348E-4</v>
      </c>
      <c r="AU94" s="82">
        <f>Daten!AZ36/Daten!AZ35-1</f>
        <v>1.9520000000006199E-4</v>
      </c>
      <c r="AV94" s="82">
        <f>Daten!BA36/Daten!BA35-1</f>
        <v>1.1519999999998198E-4</v>
      </c>
      <c r="AW94" s="82">
        <f>Daten!BB36/Daten!BB35-1</f>
        <v>-2.2559457116857473E-3</v>
      </c>
      <c r="AX94" s="82">
        <f>Daten!BC36/Daten!BC35-1</f>
        <v>-7.4655906829279584E-4</v>
      </c>
      <c r="AY94" s="82">
        <f t="shared" si="4"/>
        <v>-9.1913898690385075E-4</v>
      </c>
    </row>
    <row r="95" spans="1:51" x14ac:dyDescent="0.45">
      <c r="A95" s="82">
        <f>Daten!F37/Daten!F36-1</f>
        <v>-1.9271403923160069E-4</v>
      </c>
      <c r="B95" s="82">
        <f>Daten!G37/Daten!G36-1</f>
        <v>4.5637490215577614E-5</v>
      </c>
      <c r="C95" s="82">
        <f>Daten!H37/Daten!H36-1</f>
        <v>-7.2473859725552536E-4</v>
      </c>
      <c r="D95" s="82">
        <f>Daten!I37/Daten!I36-1</f>
        <v>-1.3114519013635029E-4</v>
      </c>
      <c r="E95" s="82">
        <f>Daten!J37/Daten!J36-1</f>
        <v>3.7022305493739083E-5</v>
      </c>
      <c r="F95" s="82">
        <f>Daten!K37/Daten!K36-1</f>
        <v>-2.6454937851391191E-3</v>
      </c>
      <c r="G95" s="82">
        <f>Daten!L37/Daten!L36-1</f>
        <v>-8.6916867689801336E-6</v>
      </c>
      <c r="H95" s="82">
        <f>Daten!M37/Daten!M36-1</f>
        <v>6.3478202572131437E-6</v>
      </c>
      <c r="I95" s="82">
        <f>Daten!N37/Daten!N36-1</f>
        <v>4.4918168543572889E-5</v>
      </c>
      <c r="J95" s="82">
        <f>Daten!O37/Daten!O36-1</f>
        <v>-3.2765845233306834E-4</v>
      </c>
      <c r="K95" s="82">
        <f>Daten!P37/Daten!P36-1</f>
        <v>-7.7834194533998868E-6</v>
      </c>
      <c r="L95" s="82">
        <f>Daten!Q37/Daten!Q36-1</f>
        <v>-1.2565742101225963E-3</v>
      </c>
      <c r="M95" s="82">
        <f>Daten!R37/Daten!R36-1</f>
        <v>-1.4955295064078555E-4</v>
      </c>
      <c r="N95" s="82">
        <f>Daten!S37/Daten!S36-1</f>
        <v>6.3478202572131437E-6</v>
      </c>
      <c r="O95" s="82">
        <f>Daten!T37/Daten!T36-1</f>
        <v>-7.6971076190868182E-5</v>
      </c>
      <c r="P95" s="82">
        <f>Daten!U37/Daten!U36-1</f>
        <v>-6.7275864577376332E-4</v>
      </c>
      <c r="Q95" s="82">
        <f>Daten!V37/Daten!V36-1</f>
        <v>-1.2038143920009015E-3</v>
      </c>
      <c r="R95" s="82">
        <f>Daten!W37/Daten!W36-1</f>
        <v>-3.34760971514525E-4</v>
      </c>
      <c r="S95" s="82">
        <f>Daten!X37/Daten!X36-1</f>
        <v>-5.6990276955437569E-4</v>
      </c>
      <c r="T95" s="82">
        <f>Daten!Y37/Daten!Y36-1</f>
        <v>-1.3189672287172716E-3</v>
      </c>
      <c r="U95" s="82">
        <f>Daten!Z37/Daten!Z36-1</f>
        <v>1.8519999999999648E-4</v>
      </c>
      <c r="V95" s="82">
        <f>Daten!AA37/Daten!AA36-1</f>
        <v>2.3320000000004448E-4</v>
      </c>
      <c r="W95" s="82">
        <f>Daten!AB37/Daten!AB36-1</f>
        <v>1.0869114907663402E-5</v>
      </c>
      <c r="X95" s="82">
        <f>Daten!AC37/Daten!AC36-1</f>
        <v>-7.519779500758661E-4</v>
      </c>
      <c r="Y95" s="82">
        <f>Daten!AD37/Daten!AD36-1</f>
        <v>-5.7585161959680109E-3</v>
      </c>
      <c r="Z95" s="82">
        <f>Daten!AE37/Daten!AE36-1</f>
        <v>-1.2686620158882667E-3</v>
      </c>
      <c r="AA95" s="82">
        <f>Daten!AF37/Daten!AF36-1</f>
        <v>1.2999999999996348E-4</v>
      </c>
      <c r="AB95" s="82">
        <f>Daten!AG37/Daten!AG36-1</f>
        <v>-5.5834406037669204E-4</v>
      </c>
      <c r="AC95" s="82">
        <f>Daten!AH37/Daten!AH36-1</f>
        <v>-5.0321246997520053E-4</v>
      </c>
      <c r="AD95" s="82">
        <f>Daten!AI37/Daten!AI36-1</f>
        <v>1.1983499099721406E-4</v>
      </c>
      <c r="AE95" s="82">
        <f>Daten!AJ37/Daten!AJ36-1</f>
        <v>-3.1407825315813431E-3</v>
      </c>
      <c r="AF95" s="82">
        <f>Daten!AK37/Daten!AK36-1</f>
        <v>2.317292545652716E-4</v>
      </c>
      <c r="AG95" s="82">
        <f>Daten!AL37/Daten!AL36-1</f>
        <v>-1.6798340595957084E-3</v>
      </c>
      <c r="AH95" s="82">
        <f>Daten!AM37/Daten!AM36-1</f>
        <v>2.5520000000001097E-4</v>
      </c>
      <c r="AI95" s="82">
        <f>Daten!AN37/Daten!AN36-1</f>
        <v>-1.0210730303625848E-3</v>
      </c>
      <c r="AJ95" s="82">
        <f>Daten!AO37/Daten!AO36-1</f>
        <v>-6.8403889585999522E-4</v>
      </c>
      <c r="AK95" s="82">
        <f>Daten!AP37/Daten!AP36-1</f>
        <v>-9.6667809282902084E-4</v>
      </c>
      <c r="AL95" s="82">
        <f>Daten!AQ37/Daten!AQ36-1</f>
        <v>-5.6159058546612073E-4</v>
      </c>
      <c r="AM95" s="82">
        <f>Daten!AR37/Daten!AR36-1</f>
        <v>-1.0717105566047103E-3</v>
      </c>
      <c r="AN95" s="82">
        <f>Daten!AS37/Daten!AS36-1</f>
        <v>-1.048119197503472E-3</v>
      </c>
      <c r="AO95" s="82">
        <f>Daten!AT37/Daten!AT36-1</f>
        <v>3.1876639346628544E-4</v>
      </c>
      <c r="AP95" s="82">
        <f>Daten!AU37/Daten!AU36-1</f>
        <v>1.7000000000000348E-4</v>
      </c>
      <c r="AQ95" s="82">
        <f>Daten!AV37/Daten!AV36-1</f>
        <v>1.5520000000002199E-4</v>
      </c>
      <c r="AR95" s="82">
        <f>Daten!AW37/Daten!AW36-1</f>
        <v>1.5520000000002199E-4</v>
      </c>
      <c r="AS95" s="82">
        <f>Daten!AX37/Daten!AX36-1</f>
        <v>5.0000000000105516E-5</v>
      </c>
      <c r="AT95" s="82">
        <f>Daten!AY37/Daten!AY36-1</f>
        <v>1.7000000000000348E-4</v>
      </c>
      <c r="AU95" s="82">
        <f>Daten!AZ37/Daten!AZ36-1</f>
        <v>1.9520000000006199E-4</v>
      </c>
      <c r="AV95" s="82">
        <f>Daten!BA37/Daten!BA36-1</f>
        <v>1.1519999999998198E-4</v>
      </c>
      <c r="AW95" s="82">
        <f>Daten!BB37/Daten!BB36-1</f>
        <v>-1.8801843618354575E-3</v>
      </c>
      <c r="AX95" s="82">
        <f>Daten!BC37/Daten!BC36-1</f>
        <v>6.8078055424369843E-4</v>
      </c>
      <c r="AY95" s="82">
        <f t="shared" si="4"/>
        <v>-5.51160887072986E-4</v>
      </c>
    </row>
    <row r="96" spans="1:51" x14ac:dyDescent="0.45">
      <c r="A96" s="82">
        <f>Daten!F38/Daten!F37-1</f>
        <v>7.1880074945296357E-5</v>
      </c>
      <c r="B96" s="82">
        <f>Daten!G38/Daten!G37-1</f>
        <v>3.4607486413995581E-4</v>
      </c>
      <c r="C96" s="82">
        <f>Daten!H38/Daten!H37-1</f>
        <v>-5.1026923911112743E-4</v>
      </c>
      <c r="D96" s="82">
        <f>Daten!I38/Daten!I37-1</f>
        <v>3.1544849363518424E-4</v>
      </c>
      <c r="E96" s="82">
        <f>Daten!J38/Daten!J37-1</f>
        <v>1.2379876257795353E-4</v>
      </c>
      <c r="F96" s="82">
        <f>Daten!K38/Daten!K37-1</f>
        <v>-1.6839521956550918E-3</v>
      </c>
      <c r="G96" s="82">
        <f>Daten!L38/Daten!L37-1</f>
        <v>2.0867944959368501E-4</v>
      </c>
      <c r="H96" s="82">
        <f>Daten!M38/Daten!M37-1</f>
        <v>-7.7683184965482432E-5</v>
      </c>
      <c r="I96" s="82">
        <f>Daten!N38/Daten!N37-1</f>
        <v>5.2253140461999692E-4</v>
      </c>
      <c r="J96" s="82">
        <f>Daten!O38/Daten!O37-1</f>
        <v>4.5627547661752921E-4</v>
      </c>
      <c r="K96" s="82">
        <f>Daten!P38/Daten!P37-1</f>
        <v>6.3106244038313442E-4</v>
      </c>
      <c r="L96" s="82">
        <f>Daten!Q38/Daten!Q37-1</f>
        <v>-1.6094664058039498E-3</v>
      </c>
      <c r="M96" s="82">
        <f>Daten!R38/Daten!R37-1</f>
        <v>-2.6456334748470312E-4</v>
      </c>
      <c r="N96" s="82">
        <f>Daten!S38/Daten!S37-1</f>
        <v>-3.5716283265707638E-5</v>
      </c>
      <c r="O96" s="82">
        <f>Daten!T38/Daten!T37-1</f>
        <v>1.3882313642565869E-4</v>
      </c>
      <c r="P96" s="82">
        <f>Daten!U38/Daten!U37-1</f>
        <v>-1.0134006676252305E-3</v>
      </c>
      <c r="Q96" s="82">
        <f>Daten!V38/Daten!V37-1</f>
        <v>-5.4961632011030215E-4</v>
      </c>
      <c r="R96" s="82">
        <f>Daten!W38/Daten!W37-1</f>
        <v>3.9739180221443071E-4</v>
      </c>
      <c r="S96" s="82">
        <f>Daten!X38/Daten!X37-1</f>
        <v>-2.7918736047782833E-4</v>
      </c>
      <c r="T96" s="82">
        <f>Daten!Y38/Daten!Y37-1</f>
        <v>-1.3669976419408147E-3</v>
      </c>
      <c r="U96" s="82">
        <f>Daten!Z38/Daten!Z37-1</f>
        <v>1.8519999999999648E-4</v>
      </c>
      <c r="V96" s="82">
        <f>Daten!AA38/Daten!AA37-1</f>
        <v>2.3320000000004448E-4</v>
      </c>
      <c r="W96" s="82">
        <f>Daten!AB38/Daten!AB37-1</f>
        <v>9.8814130523816601E-5</v>
      </c>
      <c r="X96" s="82">
        <f>Daten!AC38/Daten!AC37-1</f>
        <v>-1.1014923180407976E-4</v>
      </c>
      <c r="Y96" s="82">
        <f>Daten!AD38/Daten!AD37-1</f>
        <v>7.849145808815905E-4</v>
      </c>
      <c r="Z96" s="82">
        <f>Daten!AE38/Daten!AE37-1</f>
        <v>-2.9908107713594312E-4</v>
      </c>
      <c r="AA96" s="82">
        <f>Daten!AF38/Daten!AF37-1</f>
        <v>1.2999999999996348E-4</v>
      </c>
      <c r="AB96" s="82">
        <f>Daten!AG38/Daten!AG37-1</f>
        <v>-2.2802333903615413E-5</v>
      </c>
      <c r="AC96" s="82">
        <f>Daten!AH38/Daten!AH37-1</f>
        <v>5.0800348111179616E-4</v>
      </c>
      <c r="AD96" s="82">
        <f>Daten!AI38/Daten!AI37-1</f>
        <v>5.8921047224935741E-4</v>
      </c>
      <c r="AE96" s="82">
        <f>Daten!AJ38/Daten!AJ37-1</f>
        <v>-1.26215618360348E-3</v>
      </c>
      <c r="AF96" s="82">
        <f>Daten!AK38/Daten!AK37-1</f>
        <v>-1.5974693861120492E-4</v>
      </c>
      <c r="AG96" s="82">
        <f>Daten!AL38/Daten!AL37-1</f>
        <v>2.7107323922126447E-3</v>
      </c>
      <c r="AH96" s="82">
        <f>Daten!AM38/Daten!AM37-1</f>
        <v>2.5520000000001097E-4</v>
      </c>
      <c r="AI96" s="82">
        <f>Daten!AN38/Daten!AN37-1</f>
        <v>-9.8078443933657944E-4</v>
      </c>
      <c r="AJ96" s="82">
        <f>Daten!AO38/Daten!AO37-1</f>
        <v>-6.0139829044936199E-4</v>
      </c>
      <c r="AK96" s="82">
        <f>Daten!AP38/Daten!AP37-1</f>
        <v>-5.4291871941281045E-5</v>
      </c>
      <c r="AL96" s="82">
        <f>Daten!AQ38/Daten!AQ37-1</f>
        <v>9.5235441289616141E-3</v>
      </c>
      <c r="AM96" s="82">
        <f>Daten!AR38/Daten!AR37-1</f>
        <v>1.2473452984453903E-3</v>
      </c>
      <c r="AN96" s="82">
        <f>Daten!AS38/Daten!AS37-1</f>
        <v>3.2113008146139599E-4</v>
      </c>
      <c r="AO96" s="82">
        <f>Daten!AT38/Daten!AT37-1</f>
        <v>5.6625594332837537E-5</v>
      </c>
      <c r="AP96" s="82">
        <f>Daten!AU38/Daten!AU37-1</f>
        <v>1.7000000000000348E-4</v>
      </c>
      <c r="AQ96" s="82">
        <f>Daten!AV38/Daten!AV37-1</f>
        <v>1.5520000000002199E-4</v>
      </c>
      <c r="AR96" s="82">
        <f>Daten!AW38/Daten!AW37-1</f>
        <v>1.5520000000002199E-4</v>
      </c>
      <c r="AS96" s="82">
        <f>Daten!AX38/Daten!AX37-1</f>
        <v>5.0000000000105516E-5</v>
      </c>
      <c r="AT96" s="82">
        <f>Daten!AY38/Daten!AY37-1</f>
        <v>1.7000000000000348E-4</v>
      </c>
      <c r="AU96" s="82">
        <f>Daten!AZ38/Daten!AZ37-1</f>
        <v>1.9520000000006199E-4</v>
      </c>
      <c r="AV96" s="82">
        <f>Daten!BA38/Daten!BA37-1</f>
        <v>1.1519999999998198E-4</v>
      </c>
      <c r="AW96" s="82">
        <f>Daten!BB38/Daten!BB37-1</f>
        <v>-1.2818024309240172E-3</v>
      </c>
      <c r="AX96" s="82">
        <f>Daten!BC38/Daten!BC37-1</f>
        <v>2.0483704338314368E-4</v>
      </c>
      <c r="AY96" s="82">
        <f t="shared" si="4"/>
        <v>1.8033831815554143E-4</v>
      </c>
    </row>
    <row r="97" spans="1:52" x14ac:dyDescent="0.45">
      <c r="A97" s="82">
        <f>Daten!F39/Daten!F38-1</f>
        <v>-1.6386674368540355E-5</v>
      </c>
      <c r="B97" s="82">
        <f>Daten!G39/Daten!G38-1</f>
        <v>4.5650214412606971E-5</v>
      </c>
      <c r="C97" s="82">
        <f>Daten!H39/Daten!H38-1</f>
        <v>5.714583256200001E-4</v>
      </c>
      <c r="D97" s="82">
        <f>Daten!I39/Daten!I38-1</f>
        <v>-4.887915009762489E-4</v>
      </c>
      <c r="E97" s="82">
        <f>Daten!J39/Daten!J38-1</f>
        <v>1.6719999999992297E-4</v>
      </c>
      <c r="F97" s="82">
        <f>Daten!K39/Daten!K38-1</f>
        <v>-2.7217713031713053E-5</v>
      </c>
      <c r="G97" s="82">
        <f>Daten!L39/Daten!L38-1</f>
        <v>-5.2240790554991534E-5</v>
      </c>
      <c r="H97" s="82">
        <f>Daten!M39/Daten!M38-1</f>
        <v>-3.7196283486296E-4</v>
      </c>
      <c r="I97" s="82">
        <f>Daten!N39/Daten!N38-1</f>
        <v>-4.3281237397319039E-4</v>
      </c>
      <c r="J97" s="82">
        <f>Daten!O39/Daten!O38-1</f>
        <v>-2.3027993608093489E-5</v>
      </c>
      <c r="K97" s="82">
        <f>Daten!P39/Daten!P38-1</f>
        <v>7.7485109532871022E-5</v>
      </c>
      <c r="L97" s="82">
        <f>Daten!Q39/Daten!Q38-1</f>
        <v>8.0198442476975274E-5</v>
      </c>
      <c r="M97" s="82">
        <f>Daten!R39/Daten!R38-1</f>
        <v>-3.4173632004175225E-4</v>
      </c>
      <c r="N97" s="82">
        <f>Daten!S39/Daten!S38-1</f>
        <v>6.1249261320561743E-6</v>
      </c>
      <c r="O97" s="82">
        <f>Daten!T39/Daten!T38-1</f>
        <v>-3.7969020064032577E-4</v>
      </c>
      <c r="P97" s="82">
        <f>Daten!U39/Daten!U38-1</f>
        <v>-5.0729126471338315E-4</v>
      </c>
      <c r="Q97" s="82">
        <f>Daten!V39/Daten!V38-1</f>
        <v>-9.7754064057209433E-5</v>
      </c>
      <c r="R97" s="82">
        <f>Daten!W39/Daten!W38-1</f>
        <v>8.705367782340101E-4</v>
      </c>
      <c r="S97" s="82">
        <f>Daten!X39/Daten!X38-1</f>
        <v>-5.3046371400899961E-4</v>
      </c>
      <c r="T97" s="82">
        <f>Daten!Y39/Daten!Y38-1</f>
        <v>-4.321433113545492E-4</v>
      </c>
      <c r="U97" s="82">
        <f>Daten!Z39/Daten!Z38-1</f>
        <v>1.8519999999999648E-4</v>
      </c>
      <c r="V97" s="82">
        <f>Daten!AA39/Daten!AA38-1</f>
        <v>2.3320000000004448E-4</v>
      </c>
      <c r="W97" s="82">
        <f>Daten!AB39/Daten!AB38-1</f>
        <v>5.4814893964971745E-5</v>
      </c>
      <c r="X97" s="82">
        <f>Daten!AC39/Daten!AC38-1</f>
        <v>-1.6583387845744424E-3</v>
      </c>
      <c r="Y97" s="82">
        <f>Daten!AD39/Daten!AD38-1</f>
        <v>-6.1222989024956043E-4</v>
      </c>
      <c r="Z97" s="82">
        <f>Daten!AE39/Daten!AE38-1</f>
        <v>-1.6014669399037063E-3</v>
      </c>
      <c r="AA97" s="82">
        <f>Daten!AF39/Daten!AF38-1</f>
        <v>1.2999999999996348E-4</v>
      </c>
      <c r="AB97" s="82">
        <f>Daten!AG39/Daten!AG38-1</f>
        <v>-1.2223672234604743E-3</v>
      </c>
      <c r="AC97" s="82">
        <f>Daten!AH39/Daten!AH38-1</f>
        <v>-7.0682946160904869E-4</v>
      </c>
      <c r="AD97" s="82">
        <f>Daten!AI39/Daten!AI38-1</f>
        <v>-3.9229643334093289E-4</v>
      </c>
      <c r="AE97" s="82">
        <f>Daten!AJ39/Daten!AJ38-1</f>
        <v>-8.0222292842280218E-4</v>
      </c>
      <c r="AF97" s="82">
        <f>Daten!AK39/Daten!AK38-1</f>
        <v>7.1014693861104483E-4</v>
      </c>
      <c r="AG97" s="82">
        <f>Daten!AL39/Daten!AL38-1</f>
        <v>-8.3090498813953584E-4</v>
      </c>
      <c r="AH97" s="82">
        <f>Daten!AM39/Daten!AM38-1</f>
        <v>2.5520000000001097E-4</v>
      </c>
      <c r="AI97" s="82">
        <f>Daten!AN39/Daten!AN38-1</f>
        <v>-1.554249631042226E-3</v>
      </c>
      <c r="AJ97" s="82">
        <f>Daten!AO39/Daten!AO38-1</f>
        <v>-6.0287983520090904E-4</v>
      </c>
      <c r="AK97" s="82">
        <f>Daten!AP39/Daten!AP38-1</f>
        <v>-6.3217933924619718E-4</v>
      </c>
      <c r="AL97" s="82">
        <f>Daten!AQ39/Daten!AQ38-1</f>
        <v>5.1160955232252281E-3</v>
      </c>
      <c r="AM97" s="82">
        <f>Daten!AR39/Daten!AR38-1</f>
        <v>-7.3472544890995639E-4</v>
      </c>
      <c r="AN97" s="82">
        <f>Daten!AS39/Daten!AS38-1</f>
        <v>-1.6303701553643801E-4</v>
      </c>
      <c r="AO97" s="82">
        <f>Daten!AT39/Daten!AT38-1</f>
        <v>1.0030620430900861E-4</v>
      </c>
      <c r="AP97" s="82">
        <f>Daten!AU39/Daten!AU38-1</f>
        <v>1.7000000000000348E-4</v>
      </c>
      <c r="AQ97" s="82">
        <f>Daten!AV39/Daten!AV38-1</f>
        <v>1.5520000000002199E-4</v>
      </c>
      <c r="AR97" s="82">
        <f>Daten!AW39/Daten!AW38-1</f>
        <v>1.5520000000002199E-4</v>
      </c>
      <c r="AS97" s="82">
        <f>Daten!AX39/Daten!AX38-1</f>
        <v>5.0000000000105516E-5</v>
      </c>
      <c r="AT97" s="82">
        <f>Daten!AY39/Daten!AY38-1</f>
        <v>1.7000000000000348E-4</v>
      </c>
      <c r="AU97" s="82">
        <f>Daten!AZ39/Daten!AZ38-1</f>
        <v>1.9520000000006199E-4</v>
      </c>
      <c r="AV97" s="82">
        <f>Daten!BA39/Daten!BA38-1</f>
        <v>1.1519999999998198E-4</v>
      </c>
      <c r="AW97" s="82">
        <f>Daten!BB39/Daten!BB38-1</f>
        <v>-1.5047198936013473E-3</v>
      </c>
      <c r="AX97" s="82">
        <f>Daten!BC39/Daten!BC38-1</f>
        <v>1.6159999999998398E-4</v>
      </c>
      <c r="AY97" s="82">
        <f t="shared" si="4"/>
        <v>-1.4137882731718568E-4</v>
      </c>
    </row>
    <row r="98" spans="1:52" x14ac:dyDescent="0.45">
      <c r="A98" s="82">
        <f>Daten!F40/Daten!F39-1</f>
        <v>2.4838667436855033E-4</v>
      </c>
      <c r="B98" s="82">
        <f>Daten!G40/Daten!G39-1</f>
        <v>3.4605790022013139E-4</v>
      </c>
      <c r="C98" s="82">
        <f>Daten!H40/Daten!H39-1</f>
        <v>-7.2767547968366486E-4</v>
      </c>
      <c r="D98" s="82">
        <f>Daten!I40/Daten!I39-1</f>
        <v>1.1194681763051495E-3</v>
      </c>
      <c r="E98" s="82">
        <f>Daten!J40/Daten!J39-1</f>
        <v>2.5399813797299942E-4</v>
      </c>
      <c r="F98" s="82">
        <f>Daten!K40/Daten!K39-1</f>
        <v>2.1418756254574234E-3</v>
      </c>
      <c r="G98" s="82">
        <f>Daten!L40/Daten!L39-1</f>
        <v>1.652000000000875E-4</v>
      </c>
      <c r="H98" s="82">
        <f>Daten!M40/Daten!M39-1</f>
        <v>5.100809179672261E-4</v>
      </c>
      <c r="I98" s="82">
        <f>Daten!N40/Daten!N39-1</f>
        <v>1.1302662187557821E-3</v>
      </c>
      <c r="J98" s="82">
        <f>Daten!O40/Daten!O39-1</f>
        <v>-1.771612222263963E-3</v>
      </c>
      <c r="K98" s="82">
        <f>Daten!P40/Daten!P39-1</f>
        <v>-5.0342509228307186E-5</v>
      </c>
      <c r="L98" s="82">
        <f>Daten!Q40/Daten!Q39-1</f>
        <v>1.7980155752295168E-4</v>
      </c>
      <c r="M98" s="82">
        <f>Daten!R40/Daten!R39-1</f>
        <v>6.1420770038611572E-4</v>
      </c>
      <c r="N98" s="82">
        <f>Daten!S40/Daten!S39-1</f>
        <v>-7.7995598802504951E-5</v>
      </c>
      <c r="O98" s="82">
        <f>Daten!T40/Daten!T39-1</f>
        <v>1.8199999999990446E-4</v>
      </c>
      <c r="P98" s="82">
        <f>Daten!U40/Daten!U39-1</f>
        <v>1.146290577325404E-3</v>
      </c>
      <c r="Q98" s="82">
        <f>Daten!V40/Daten!V39-1</f>
        <v>3.9630825338354825E-4</v>
      </c>
      <c r="R98" s="82">
        <f>Daten!W40/Daten!W39-1</f>
        <v>-2.4820754573195991E-4</v>
      </c>
      <c r="S98" s="82">
        <f>Daten!X40/Daten!X39-1</f>
        <v>-7.4115629568383135E-4</v>
      </c>
      <c r="T98" s="82">
        <f>Daten!Y40/Daten!Y39-1</f>
        <v>9.7605882410589651E-4</v>
      </c>
      <c r="U98" s="82">
        <f>Daten!Z40/Daten!Z39-1</f>
        <v>-5.1460752471876869E-4</v>
      </c>
      <c r="V98" s="82">
        <f>Daten!AA40/Daten!AA39-1</f>
        <v>2.3320000000004448E-4</v>
      </c>
      <c r="W98" s="82">
        <f>Daten!AB40/Daten!AB39-1</f>
        <v>3.6272935189374245E-4</v>
      </c>
      <c r="X98" s="82">
        <f>Daten!AC40/Daten!AC39-1</f>
        <v>8.7867325733559376E-4</v>
      </c>
      <c r="Y98" s="82">
        <f>Daten!AD40/Daten!AD39-1</f>
        <v>1.7750077241873718E-3</v>
      </c>
      <c r="Z98" s="82">
        <f>Daten!AE40/Daten!AE39-1</f>
        <v>8.7936042491643107E-4</v>
      </c>
      <c r="AA98" s="82">
        <f>Daten!AF40/Daten!AF39-1</f>
        <v>-1.969389975737923E-3</v>
      </c>
      <c r="AB98" s="82">
        <f>Daten!AG40/Daten!AG39-1</f>
        <v>1.2176626505377985E-3</v>
      </c>
      <c r="AC98" s="82">
        <f>Daten!AH40/Daten!AH39-1</f>
        <v>9.1346131174963041E-4</v>
      </c>
      <c r="AD98" s="82">
        <f>Daten!AI40/Daten!AI39-1</f>
        <v>7.1739011173410638E-4</v>
      </c>
      <c r="AE98" s="82">
        <f>Daten!AJ40/Daten!AJ39-1</f>
        <v>2.2107274400422483E-3</v>
      </c>
      <c r="AF98" s="82">
        <f>Daten!AK40/Daten!AK39-1</f>
        <v>-1.597469386110939E-4</v>
      </c>
      <c r="AG98" s="82">
        <f>Daten!AL40/Daten!AL39-1</f>
        <v>-4.4533288667216731E-3</v>
      </c>
      <c r="AH98" s="82">
        <f>Daten!AM40/Daten!AM39-1</f>
        <v>-7.3064221456109468E-4</v>
      </c>
      <c r="AI98" s="82">
        <f>Daten!AN40/Daten!AN39-1</f>
        <v>1.2501979269285979E-3</v>
      </c>
      <c r="AJ98" s="82">
        <f>Daten!AO40/Daten!AO39-1</f>
        <v>5.3823559490284723E-4</v>
      </c>
      <c r="AK98" s="82">
        <f>Daten!AP40/Daten!AP39-1</f>
        <v>-5.4580087415212475E-5</v>
      </c>
      <c r="AL98" s="82">
        <f>Daten!AQ40/Daten!AQ39-1</f>
        <v>-6.1480000459724904E-3</v>
      </c>
      <c r="AM98" s="82">
        <f>Daten!AR40/Daten!AR39-1</f>
        <v>-1.3720467031631545E-3</v>
      </c>
      <c r="AN98" s="82">
        <f>Daten!AS40/Daten!AS39-1</f>
        <v>4.4224776464862892E-4</v>
      </c>
      <c r="AO98" s="82">
        <f>Daten!AT40/Daten!AT39-1</f>
        <v>-5.5569924615006538E-4</v>
      </c>
      <c r="AP98" s="82">
        <f>Daten!AU40/Daten!AU39-1</f>
        <v>-2.957622372303903E-3</v>
      </c>
      <c r="AQ98" s="82">
        <f>Daten!AV40/Daten!AV39-1</f>
        <v>-2.8506427273764512E-3</v>
      </c>
      <c r="AR98" s="82">
        <f>Daten!AW40/Daten!AW39-1</f>
        <v>-2.0723680278655898E-3</v>
      </c>
      <c r="AS98" s="82">
        <f>Daten!AX40/Daten!AX39-1</f>
        <v>-1.5475417940604697E-3</v>
      </c>
      <c r="AT98" s="82">
        <f>Daten!AY40/Daten!AY39-1</f>
        <v>-8.4035290569572929E-4</v>
      </c>
      <c r="AU98" s="82">
        <f>Daten!AZ40/Daten!AZ39-1</f>
        <v>-6.3757167822220406E-4</v>
      </c>
      <c r="AV98" s="82">
        <f>Daten!BA40/Daten!BA39-1</f>
        <v>-6.0919115512214628E-4</v>
      </c>
      <c r="AW98" s="82">
        <f>Daten!BB40/Daten!BB39-1</f>
        <v>1.0194352120558303E-3</v>
      </c>
      <c r="AX98" s="82">
        <f>Daten!BC40/Daten!BC39-1</f>
        <v>2.9128530885280668E-4</v>
      </c>
      <c r="AY98" s="82">
        <f t="shared" si="4"/>
        <v>-1.8773661114089595E-4</v>
      </c>
    </row>
    <row r="99" spans="1:52" x14ac:dyDescent="0.45">
      <c r="A99" s="82">
        <f>Daten!F41/Daten!F40-1</f>
        <v>1.1600000000000499E-4</v>
      </c>
      <c r="B99" s="82">
        <f>Daten!G41/Daten!G40-1</f>
        <v>1.7439999999990796E-4</v>
      </c>
      <c r="C99" s="82">
        <f>Daten!H41/Daten!H40-1</f>
        <v>-3.3884706112741192E-4</v>
      </c>
      <c r="D99" s="82">
        <f>Daten!I41/Daten!I40-1</f>
        <v>1.3679999999993697E-4</v>
      </c>
      <c r="E99" s="82">
        <f>Daten!J41/Daten!J40-1</f>
        <v>1.6719999999992297E-4</v>
      </c>
      <c r="F99" s="82">
        <f>Daten!K41/Daten!K40-1</f>
        <v>2.2839999999990646E-4</v>
      </c>
      <c r="G99" s="82">
        <f>Daten!L41/Daten!L40-1</f>
        <v>1.652000000000875E-4</v>
      </c>
      <c r="H99" s="82">
        <f>Daten!M41/Daten!M40-1</f>
        <v>2.1599999999999397E-4</v>
      </c>
      <c r="I99" s="82">
        <f>Daten!N41/Daten!N40-1</f>
        <v>1.7519999999993097E-4</v>
      </c>
      <c r="J99" s="82">
        <f>Daten!O41/Daten!O40-1</f>
        <v>2.5970779025896729E-3</v>
      </c>
      <c r="K99" s="82">
        <f>Daten!P41/Daten!P40-1</f>
        <v>2.0519999999990546E-4</v>
      </c>
      <c r="L99" s="82">
        <f>Daten!Q41/Daten!Q40-1</f>
        <v>1.2999999999996348E-4</v>
      </c>
      <c r="M99" s="82">
        <f>Daten!R41/Daten!R40-1</f>
        <v>2.6999999999999247E-4</v>
      </c>
      <c r="N99" s="82">
        <f>Daten!S41/Daten!S40-1</f>
        <v>2.1599999999999397E-4</v>
      </c>
      <c r="O99" s="82">
        <f>Daten!T41/Daten!T40-1</f>
        <v>1.8199999999990446E-4</v>
      </c>
      <c r="P99" s="82">
        <f>Daten!U41/Daten!U40-1</f>
        <v>2.1359999999992496E-4</v>
      </c>
      <c r="Q99" s="82">
        <f>Daten!V41/Daten!V40-1</f>
        <v>2.3159999999999847E-4</v>
      </c>
      <c r="R99" s="82">
        <f>Daten!W41/Daten!W40-1</f>
        <v>1.8199999999990446E-4</v>
      </c>
      <c r="S99" s="82">
        <f>Daten!X41/Daten!X40-1</f>
        <v>2.2119999999992146E-4</v>
      </c>
      <c r="T99" s="82">
        <f>Daten!Y41/Daten!Y40-1</f>
        <v>2.0799999999998597E-4</v>
      </c>
      <c r="U99" s="82">
        <f>Daten!Z41/Daten!Z40-1</f>
        <v>1.8519999999999648E-4</v>
      </c>
      <c r="V99" s="82">
        <f>Daten!AA41/Daten!AA40-1</f>
        <v>2.3320000000004448E-4</v>
      </c>
      <c r="W99" s="82">
        <f>Daten!AB41/Daten!AB40-1</f>
        <v>1.4280000000010951E-4</v>
      </c>
      <c r="X99" s="82">
        <f>Daten!AC41/Daten!AC40-1</f>
        <v>1.8999999999991246E-4</v>
      </c>
      <c r="Y99" s="82">
        <f>Daten!AD41/Daten!AD40-1</f>
        <v>1.5399999999998748E-4</v>
      </c>
      <c r="Z99" s="82">
        <f>Daten!AE41/Daten!AE40-1</f>
        <v>2.2799999999989495E-4</v>
      </c>
      <c r="AA99" s="82">
        <f>Daten!AF41/Daten!AF40-1</f>
        <v>1.2999999999996348E-4</v>
      </c>
      <c r="AB99" s="82">
        <f>Daten!AG41/Daten!AG40-1</f>
        <v>2.2480000000002498E-4</v>
      </c>
      <c r="AC99" s="82">
        <f>Daten!AH41/Daten!AH40-1</f>
        <v>2.6520000000007649E-4</v>
      </c>
      <c r="AD99" s="82">
        <f>Daten!AI41/Daten!AI40-1</f>
        <v>2.0519999999990546E-4</v>
      </c>
      <c r="AE99" s="82">
        <f>Daten!AJ41/Daten!AJ40-1</f>
        <v>1.7200000000006099E-4</v>
      </c>
      <c r="AF99" s="82">
        <f>Daten!AK41/Daten!AK40-1</f>
        <v>7.1014693861104483E-4</v>
      </c>
      <c r="AG99" s="82">
        <f>Daten!AL41/Daten!AL40-1</f>
        <v>-1.7042270679673566E-3</v>
      </c>
      <c r="AH99" s="82">
        <f>Daten!AM41/Daten!AM40-1</f>
        <v>2.5520000000001097E-4</v>
      </c>
      <c r="AI99" s="82">
        <f>Daten!AN41/Daten!AN40-1</f>
        <v>1.9799999999992046E-4</v>
      </c>
      <c r="AJ99" s="82">
        <f>Daten!AO41/Daten!AO40-1</f>
        <v>1.9999999999997797E-4</v>
      </c>
      <c r="AK99" s="82">
        <f>Daten!AP41/Daten!AP40-1</f>
        <v>8.9999999999923475E-5</v>
      </c>
      <c r="AL99" s="82">
        <f>Daten!AQ41/Daten!AQ40-1</f>
        <v>2.7594952155596264E-3</v>
      </c>
      <c r="AM99" s="82">
        <f>Daten!AR41/Daten!AR40-1</f>
        <v>-1.5907291352308395E-3</v>
      </c>
      <c r="AN99" s="82">
        <f>Daten!AS41/Daten!AS40-1</f>
        <v>2.8080000000008098E-4</v>
      </c>
      <c r="AO99" s="82">
        <f>Daten!AT41/Daten!AT40-1</f>
        <v>1.4399999999992197E-4</v>
      </c>
      <c r="AP99" s="82">
        <f>Daten!AU41/Daten!AU40-1</f>
        <v>1.7000000000000348E-4</v>
      </c>
      <c r="AQ99" s="82">
        <f>Daten!AV41/Daten!AV40-1</f>
        <v>1.5520000000002199E-4</v>
      </c>
      <c r="AR99" s="82">
        <f>Daten!AW41/Daten!AW40-1</f>
        <v>1.5520000000002199E-4</v>
      </c>
      <c r="AS99" s="82">
        <f>Daten!AX41/Daten!AX40-1</f>
        <v>5.0000000000105516E-5</v>
      </c>
      <c r="AT99" s="82">
        <f>Daten!AY41/Daten!AY40-1</f>
        <v>1.7000000000000348E-4</v>
      </c>
      <c r="AU99" s="82">
        <f>Daten!AZ41/Daten!AZ40-1</f>
        <v>1.9520000000006199E-4</v>
      </c>
      <c r="AV99" s="82">
        <f>Daten!BA41/Daten!BA40-1</f>
        <v>1.1519999999998198E-4</v>
      </c>
      <c r="AW99" s="82">
        <f>Daten!BB41/Daten!BB40-1</f>
        <v>1.9199999999996997E-4</v>
      </c>
      <c r="AX99" s="82">
        <f>Daten!BC41/Daten!BC40-1</f>
        <v>1.6159999999998398E-4</v>
      </c>
      <c r="AY99" s="82">
        <f t="shared" si="4"/>
        <v>2.1262279168232417E-4</v>
      </c>
    </row>
    <row r="100" spans="1:52" x14ac:dyDescent="0.45">
      <c r="A100" s="82">
        <f>Daten!F42/Daten!F41-1</f>
        <v>4.6883396428643032E-4</v>
      </c>
      <c r="B100" s="82">
        <f>Daten!G42/Daten!G41-1</f>
        <v>1.7439999999990796E-4</v>
      </c>
      <c r="C100" s="82">
        <f>Daten!H42/Daten!H41-1</f>
        <v>-2.9610983381000988E-4</v>
      </c>
      <c r="D100" s="82">
        <f>Daten!I42/Daten!I41-1</f>
        <v>1.3679999999993697E-4</v>
      </c>
      <c r="E100" s="82">
        <f>Daten!J42/Daten!J41-1</f>
        <v>2.1059256454658559E-4</v>
      </c>
      <c r="F100" s="82">
        <f>Daten!K42/Daten!K41-1</f>
        <v>-4.9347806328103871E-4</v>
      </c>
      <c r="G100" s="82">
        <f>Daten!L42/Daten!L41-1</f>
        <v>1.2169877475165514E-4</v>
      </c>
      <c r="H100" s="82">
        <f>Daten!M42/Daten!M41-1</f>
        <v>5.5184881859560164E-4</v>
      </c>
      <c r="I100" s="82">
        <f>Daten!N42/Daten!N41-1</f>
        <v>2.6192014443804368E-4</v>
      </c>
      <c r="J100" s="82">
        <f>Daten!O42/Daten!O41-1</f>
        <v>1.512868366646547E-4</v>
      </c>
      <c r="K100" s="82">
        <f>Daten!P42/Daten!P41-1</f>
        <v>1.6259495931225665E-4</v>
      </c>
      <c r="L100" s="82">
        <f>Daten!Q42/Daten!Q41-1</f>
        <v>1.0751461443128107E-3</v>
      </c>
      <c r="M100" s="82">
        <f>Daten!R42/Daten!R41-1</f>
        <v>4.2289367589809501E-4</v>
      </c>
      <c r="N100" s="82">
        <f>Daten!S42/Daten!S41-1</f>
        <v>7.6183351940151134E-4</v>
      </c>
      <c r="O100" s="82">
        <f>Daten!T42/Daten!T41-1</f>
        <v>6.141338484926262E-4</v>
      </c>
      <c r="P100" s="82">
        <f>Daten!U42/Daten!U41-1</f>
        <v>-2.524949079929506E-4</v>
      </c>
      <c r="Q100" s="82">
        <f>Daten!V42/Daten!V41-1</f>
        <v>8.8980905944358035E-4</v>
      </c>
      <c r="R100" s="82">
        <f>Daten!W42/Daten!W41-1</f>
        <v>-1.1939904777069632E-4</v>
      </c>
      <c r="S100" s="82">
        <f>Daten!X42/Daten!X41-1</f>
        <v>6.8172342493633131E-4</v>
      </c>
      <c r="T100" s="82">
        <f>Daten!Y42/Daten!Y41-1</f>
        <v>5.915206388795724E-4</v>
      </c>
      <c r="U100" s="82">
        <f>Daten!Z42/Daten!Z41-1</f>
        <v>-3.0191678828217494E-4</v>
      </c>
      <c r="V100" s="82">
        <f>Daten!AA42/Daten!AA41-1</f>
        <v>2.3320000000004448E-4</v>
      </c>
      <c r="W100" s="82">
        <f>Daten!AB42/Daten!AB41-1</f>
        <v>3.186633277334483E-4</v>
      </c>
      <c r="X100" s="82">
        <f>Daten!AC42/Daten!AC41-1</f>
        <v>2.3300584069474439E-4</v>
      </c>
      <c r="Y100" s="82">
        <f>Daten!AD42/Daten!AD41-1</f>
        <v>7.3788015048825706E-4</v>
      </c>
      <c r="Z100" s="82">
        <f>Daten!AE42/Daten!AE41-1</f>
        <v>2.4554789972652813E-5</v>
      </c>
      <c r="AA100" s="82">
        <f>Daten!AF42/Daten!AF41-1</f>
        <v>4.181256244801812E-4</v>
      </c>
      <c r="AB100" s="82">
        <f>Daten!AG42/Daten!AG41-1</f>
        <v>3.4874838553533571E-4</v>
      </c>
      <c r="AC100" s="82">
        <f>Daten!AH42/Daten!AH41-1</f>
        <v>4.6758337749319701E-4</v>
      </c>
      <c r="AD100" s="82">
        <f>Daten!AI42/Daten!AI41-1</f>
        <v>2.9050632160654288E-4</v>
      </c>
      <c r="AE100" s="82">
        <f>Daten!AJ42/Daten!AJ41-1</f>
        <v>2.6444241880430042E-4</v>
      </c>
      <c r="AF100" s="82">
        <f>Daten!AK42/Daten!AK41-1</f>
        <v>-1.5974693861120492E-4</v>
      </c>
      <c r="AG100" s="82">
        <f>Daten!AL42/Daten!AL41-1</f>
        <v>2.74102548562416E-3</v>
      </c>
      <c r="AH100" s="82">
        <f>Daten!AM42/Daten!AM41-1</f>
        <v>-3.1081883762851259E-4</v>
      </c>
      <c r="AI100" s="82">
        <f>Daten!AN42/Daten!AN41-1</f>
        <v>-3.7162408052526796E-4</v>
      </c>
      <c r="AJ100" s="82">
        <f>Daten!AO42/Daten!AO41-1</f>
        <v>1.2552915769812323E-3</v>
      </c>
      <c r="AK100" s="82">
        <f>Daten!AP42/Daten!AP41-1</f>
        <v>-1.5107382351076115E-4</v>
      </c>
      <c r="AL100" s="82">
        <f>Daten!AQ42/Daten!AQ41-1</f>
        <v>9.8175161693103696E-4</v>
      </c>
      <c r="AM100" s="82">
        <f>Daten!AR42/Daten!AR41-1</f>
        <v>7.4553435003199553E-4</v>
      </c>
      <c r="AN100" s="82">
        <f>Daten!AS42/Daten!AS41-1</f>
        <v>1.2079617280889021E-3</v>
      </c>
      <c r="AO100" s="82">
        <f>Daten!AT42/Daten!AT41-1</f>
        <v>9.7476744750779609E-4</v>
      </c>
      <c r="AP100" s="82">
        <f>Daten!AU42/Daten!AU41-1</f>
        <v>-9.1757794743119181E-4</v>
      </c>
      <c r="AQ100" s="82">
        <f>Daten!AV42/Daten!AV41-1</f>
        <v>-6.1708990691611287E-4</v>
      </c>
      <c r="AR100" s="82">
        <f>Daten!AW42/Daten!AW41-1</f>
        <v>-7.2943914577994207E-4</v>
      </c>
      <c r="AS100" s="82">
        <f>Daten!AX42/Daten!AX41-1</f>
        <v>-1.4449483062217716E-4</v>
      </c>
      <c r="AT100" s="82">
        <f>Daten!AY42/Daten!AY41-1</f>
        <v>1.6968644066528427E-5</v>
      </c>
      <c r="AU100" s="82">
        <f>Daten!AZ42/Daten!AZ41-1</f>
        <v>7.7897841459950712E-5</v>
      </c>
      <c r="AV100" s="82">
        <f>Daten!BA42/Daten!BA41-1</f>
        <v>6.214829959461099E-5</v>
      </c>
      <c r="AW100" s="82">
        <f>Daten!BB42/Daten!BB41-1</f>
        <v>-5.4826249359718471E-4</v>
      </c>
      <c r="AX100" s="82">
        <f>Daten!BC42/Daten!BC41-1</f>
        <v>1.6159999999998398E-4</v>
      </c>
      <c r="AY100" s="82">
        <f t="shared" si="4"/>
        <v>2.6441495900018052E-4</v>
      </c>
    </row>
    <row r="101" spans="1:52" x14ac:dyDescent="0.45">
      <c r="A101" s="82">
        <f>Daten!F43/Daten!F42-1</f>
        <v>1.1600000000000499E-4</v>
      </c>
      <c r="B101" s="82">
        <f>Daten!G43/Daten!G42-1</f>
        <v>3.0309891393720534E-4</v>
      </c>
      <c r="C101" s="82">
        <f>Daten!H43/Daten!H42-1</f>
        <v>-1.2988710348614818E-3</v>
      </c>
      <c r="D101" s="82">
        <f>Daten!I43/Daten!I42-1</f>
        <v>5.8273338131242802E-4</v>
      </c>
      <c r="E101" s="82">
        <f>Daten!J43/Daten!J42-1</f>
        <v>3.4072691546538358E-4</v>
      </c>
      <c r="F101" s="82">
        <f>Daten!K43/Daten!K42-1</f>
        <v>-1.1763273117074702E-3</v>
      </c>
      <c r="G101" s="82">
        <f>Daten!L43/Daten!L42-1</f>
        <v>1.2169441700304873E-4</v>
      </c>
      <c r="H101" s="82">
        <f>Daten!M43/Daten!M42-1</f>
        <v>9.0087126858096056E-5</v>
      </c>
      <c r="I101" s="82">
        <f>Daten!N43/Daten!N42-1</f>
        <v>-1.7178452412303091E-4</v>
      </c>
      <c r="J101" s="82">
        <f>Daten!O43/Daten!O42-1</f>
        <v>-4.1580208931246698E-4</v>
      </c>
      <c r="K101" s="82">
        <f>Daten!P43/Daten!P42-1</f>
        <v>-5.0518053651082973E-5</v>
      </c>
      <c r="L101" s="82">
        <f>Daten!Q43/Daten!Q42-1</f>
        <v>-6.8807273741033903E-5</v>
      </c>
      <c r="M101" s="82">
        <f>Daten!R43/Daten!R42-1</f>
        <v>-3.8017018812652736E-4</v>
      </c>
      <c r="N101" s="82">
        <f>Daten!S43/Daten!S42-1</f>
        <v>4.2575343653483699E-4</v>
      </c>
      <c r="O101" s="82">
        <f>Daten!T43/Daten!T42-1</f>
        <v>9.1980552539006055E-6</v>
      </c>
      <c r="P101" s="82">
        <f>Daten!U43/Daten!U42-1</f>
        <v>-4.0844582165466825E-5</v>
      </c>
      <c r="Q101" s="82">
        <f>Daten!V43/Daten!V42-1</f>
        <v>-1.385198403200949E-4</v>
      </c>
      <c r="R101" s="82">
        <f>Daten!W43/Daten!W42-1</f>
        <v>3.9730637588530904E-4</v>
      </c>
      <c r="S101" s="82">
        <f>Daten!X43/Daten!X42-1</f>
        <v>-2.9934055901015277E-5</v>
      </c>
      <c r="T101" s="82">
        <f>Daten!Y43/Daten!Y42-1</f>
        <v>-6.4472849289121115E-4</v>
      </c>
      <c r="U101" s="82">
        <f>Daten!Z43/Daten!Z42-1</f>
        <v>1.8519999999999648E-4</v>
      </c>
      <c r="V101" s="82">
        <f>Daten!AA43/Daten!AA42-1</f>
        <v>2.3320000000004448E-4</v>
      </c>
      <c r="W101" s="82">
        <f>Daten!AB43/Daten!AB42-1</f>
        <v>1.0909180976570454E-5</v>
      </c>
      <c r="X101" s="82">
        <f>Daten!AC43/Daten!AC42-1</f>
        <v>-1.5416602645401678E-4</v>
      </c>
      <c r="Y101" s="82">
        <f>Daten!AD43/Daten!AD42-1</f>
        <v>6.4223362594262312E-5</v>
      </c>
      <c r="Z101" s="82">
        <f>Daten!AE43/Daten!AE42-1</f>
        <v>1.465952233974388E-4</v>
      </c>
      <c r="AA101" s="82">
        <f>Daten!AF43/Daten!AF42-1</f>
        <v>1.2999999999996348E-4</v>
      </c>
      <c r="AB101" s="82">
        <f>Daten!AG43/Daten!AG42-1</f>
        <v>-5.1942149535799675E-4</v>
      </c>
      <c r="AC101" s="82">
        <f>Daten!AH43/Daten!AH42-1</f>
        <v>2.2473086873064929E-4</v>
      </c>
      <c r="AD101" s="82">
        <f>Daten!AI43/Daten!AI42-1</f>
        <v>3.7576239076497764E-4</v>
      </c>
      <c r="AE101" s="82">
        <f>Daten!AJ43/Daten!AJ42-1</f>
        <v>-1.0312889762345012E-3</v>
      </c>
      <c r="AF101" s="82">
        <f>Daten!AK43/Daten!AK42-1</f>
        <v>1.3617516848589695E-3</v>
      </c>
      <c r="AG101" s="82">
        <f>Daten!AL43/Daten!AL42-1</f>
        <v>-2.0776464562962671E-3</v>
      </c>
      <c r="AH101" s="82">
        <f>Daten!AM43/Daten!AM42-1</f>
        <v>2.5520000000001097E-4</v>
      </c>
      <c r="AI101" s="82">
        <f>Daten!AN43/Daten!AN42-1</f>
        <v>-3.7237218530628002E-4</v>
      </c>
      <c r="AJ101" s="82">
        <f>Daten!AO43/Daten!AO42-1</f>
        <v>-5.3036217239621486E-5</v>
      </c>
      <c r="AK101" s="82">
        <f>Daten!AP43/Daten!AP42-1</f>
        <v>2.8286976309144229E-4</v>
      </c>
      <c r="AL101" s="82">
        <f>Daten!AQ43/Daten!AQ42-1</f>
        <v>-1.0732886438704514E-2</v>
      </c>
      <c r="AM101" s="82">
        <f>Daten!AR43/Daten!AR42-1</f>
        <v>-6.5827904352255828E-4</v>
      </c>
      <c r="AN101" s="82">
        <f>Daten!AS43/Daten!AS42-1</f>
        <v>8.4419173455541063E-4</v>
      </c>
      <c r="AO101" s="82">
        <f>Daten!AT43/Daten!AT42-1</f>
        <v>1.0031499449070225E-4</v>
      </c>
      <c r="AP101" s="82">
        <f>Daten!AU43/Daten!AU42-1</f>
        <v>1.7000000000000348E-4</v>
      </c>
      <c r="AQ101" s="82">
        <f>Daten!AV43/Daten!AV42-1</f>
        <v>1.5520000000002199E-4</v>
      </c>
      <c r="AR101" s="82">
        <f>Daten!AW43/Daten!AW42-1</f>
        <v>1.5520000000002199E-4</v>
      </c>
      <c r="AS101" s="82">
        <f>Daten!AX43/Daten!AX42-1</f>
        <v>5.0000000000105516E-5</v>
      </c>
      <c r="AT101" s="82">
        <f>Daten!AY43/Daten!AY42-1</f>
        <v>1.7000000000000348E-4</v>
      </c>
      <c r="AU101" s="82">
        <f>Daten!AZ43/Daten!AZ42-1</f>
        <v>1.9520000000006199E-4</v>
      </c>
      <c r="AV101" s="82">
        <f>Daten!BA43/Daten!BA42-1</f>
        <v>1.1519999999998198E-4</v>
      </c>
      <c r="AW101" s="82">
        <f>Daten!BB43/Daten!BB42-1</f>
        <v>4.0985527514925124E-4</v>
      </c>
      <c r="AX101" s="82">
        <f>Daten!BC43/Daten!BC42-1</f>
        <v>-2.275721609680259E-4</v>
      </c>
      <c r="AY101" s="82">
        <f t="shared" si="4"/>
        <v>-2.5177088461274624E-4</v>
      </c>
    </row>
    <row r="102" spans="1:52" x14ac:dyDescent="0.45">
      <c r="A102" s="82">
        <f>Daten!F44/Daten!F43-1</f>
        <v>-1.6279146736741801E-5</v>
      </c>
      <c r="B102" s="82">
        <f>Daten!G44/Daten!G43-1</f>
        <v>-1.6888189271024867E-4</v>
      </c>
      <c r="C102" s="82">
        <f>Daten!H44/Daten!H43-1</f>
        <v>2.2520000000003648E-4</v>
      </c>
      <c r="D102" s="82">
        <f>Daten!I44/Daten!I43-1</f>
        <v>-4.8763502044801843E-4</v>
      </c>
      <c r="E102" s="82">
        <f>Daten!J44/Daten!J43-1</f>
        <v>-1.3651761798516571E-4</v>
      </c>
      <c r="F102" s="82">
        <f>Daten!K44/Daten!K43-1</f>
        <v>1.8576149602345104E-4</v>
      </c>
      <c r="G102" s="82">
        <f>Daten!L44/Daten!L43-1</f>
        <v>-7.4942543156242269E-4</v>
      </c>
      <c r="H102" s="82">
        <f>Daten!M44/Daten!M43-1</f>
        <v>-2.0397342205480395E-4</v>
      </c>
      <c r="I102" s="82">
        <f>Daten!N44/Daten!N43-1</f>
        <v>-8.5220444683065111E-5</v>
      </c>
      <c r="J102" s="82">
        <f>Daten!O44/Daten!O43-1</f>
        <v>5.001836177027652E-4</v>
      </c>
      <c r="K102" s="82">
        <f>Daten!P44/Daten!P43-1</f>
        <v>-9.3328157610428342E-5</v>
      </c>
      <c r="L102" s="82">
        <f>Daten!Q44/Daten!Q43-1</f>
        <v>1.7971035109920486E-4</v>
      </c>
      <c r="M102" s="82">
        <f>Daten!R44/Daten!R43-1</f>
        <v>2.6999999999999247E-4</v>
      </c>
      <c r="N102" s="82">
        <f>Daten!S44/Daten!S43-1</f>
        <v>-4.5556790326495289E-4</v>
      </c>
      <c r="O102" s="82">
        <f>Daten!T44/Daten!T43-1</f>
        <v>-3.4099164484269195E-5</v>
      </c>
      <c r="P102" s="82">
        <f>Daten!U44/Daten!U43-1</f>
        <v>-4.2316441968426322E-4</v>
      </c>
      <c r="Q102" s="82">
        <f>Daten!V44/Daten!V43-1</f>
        <v>-9.7660426615298057E-5</v>
      </c>
      <c r="R102" s="82">
        <f>Daten!W44/Daten!W43-1</f>
        <v>-2.0562836283144481E-4</v>
      </c>
      <c r="S102" s="82">
        <f>Daten!X44/Daten!X43-1</f>
        <v>9.5578493487513683E-5</v>
      </c>
      <c r="T102" s="82">
        <f>Daten!Y44/Daten!Y43-1</f>
        <v>4.639943969808602E-4</v>
      </c>
      <c r="U102" s="82">
        <f>Daten!Z44/Daten!Z43-1</f>
        <v>1.8519999999999648E-4</v>
      </c>
      <c r="V102" s="82">
        <f>Daten!AA44/Daten!AA43-1</f>
        <v>2.3320000000004448E-4</v>
      </c>
      <c r="W102" s="82">
        <f>Daten!AB44/Daten!AB43-1</f>
        <v>-3.3116754568629503E-5</v>
      </c>
      <c r="X102" s="82">
        <f>Daten!AC44/Daten!AC43-1</f>
        <v>3.1909422395859366E-4</v>
      </c>
      <c r="Y102" s="82">
        <f>Daten!AD44/Daten!AD43-1</f>
        <v>2.4377663740571265E-4</v>
      </c>
      <c r="Z102" s="82">
        <f>Daten!AE44/Daten!AE43-1</f>
        <v>-1.6305921632819853E-5</v>
      </c>
      <c r="AA102" s="82">
        <f>Daten!AF44/Daten!AF43-1</f>
        <v>1.2999999999996348E-4</v>
      </c>
      <c r="AB102" s="82">
        <f>Daten!AG44/Daten!AG43-1</f>
        <v>1.4202994411705028E-4</v>
      </c>
      <c r="AC102" s="82">
        <f>Daten!AH44/Daten!AH43-1</f>
        <v>-1.3969885638731583E-4</v>
      </c>
      <c r="AD102" s="82">
        <f>Daten!AI44/Daten!AI43-1</f>
        <v>-3.4937286301450765E-4</v>
      </c>
      <c r="AE102" s="82">
        <f>Daten!AJ44/Daten!AJ43-1</f>
        <v>-4.3089702295295851E-4</v>
      </c>
      <c r="AF102" s="82">
        <f>Daten!AK44/Daten!AK43-1</f>
        <v>-3.7640474624778264E-4</v>
      </c>
      <c r="AG102" s="82">
        <f>Daten!AL44/Daten!AL43-1</f>
        <v>1.9924635417458703E-3</v>
      </c>
      <c r="AH102" s="82">
        <f>Daten!AM44/Daten!AM43-1</f>
        <v>2.5520000000001097E-4</v>
      </c>
      <c r="AI102" s="82">
        <f>Daten!AN44/Daten!AN43-1</f>
        <v>2.8579833890263195E-4</v>
      </c>
      <c r="AJ102" s="82">
        <f>Daten!AO44/Daten!AO43-1</f>
        <v>-6.8678956573187122E-4</v>
      </c>
      <c r="AK102" s="82">
        <f>Daten!AP44/Daten!AP43-1</f>
        <v>-9.2352317155219854E-4</v>
      </c>
      <c r="AL102" s="82">
        <f>Daten!AQ44/Daten!AQ43-1</f>
        <v>-2.0548921981268453E-2</v>
      </c>
      <c r="AM102" s="82">
        <f>Daten!AR44/Daten!AR43-1</f>
        <v>7.8852278418817257E-4</v>
      </c>
      <c r="AN102" s="82">
        <f>Daten!AS44/Daten!AS43-1</f>
        <v>-1.2501097774900716E-3</v>
      </c>
      <c r="AO102" s="82">
        <f>Daten!AT44/Daten!AT43-1</f>
        <v>-3.0783977367998538E-5</v>
      </c>
      <c r="AP102" s="82">
        <f>Daten!AU44/Daten!AU43-1</f>
        <v>1.7000000000000348E-4</v>
      </c>
      <c r="AQ102" s="82">
        <f>Daten!AV44/Daten!AV43-1</f>
        <v>1.5520000000002199E-4</v>
      </c>
      <c r="AR102" s="82">
        <f>Daten!AW44/Daten!AW43-1</f>
        <v>1.5520000000002199E-4</v>
      </c>
      <c r="AS102" s="82">
        <f>Daten!AX44/Daten!AX43-1</f>
        <v>5.0000000000105516E-5</v>
      </c>
      <c r="AT102" s="82">
        <f>Daten!AY44/Daten!AY43-1</f>
        <v>1.7000000000000348E-4</v>
      </c>
      <c r="AU102" s="82">
        <f>Daten!AZ44/Daten!AZ43-1</f>
        <v>1.9520000000006199E-4</v>
      </c>
      <c r="AV102" s="82">
        <f>Daten!BA44/Daten!BA43-1</f>
        <v>1.1519999999998198E-4</v>
      </c>
      <c r="AW102" s="82">
        <f>Daten!BB44/Daten!BB43-1</f>
        <v>-2.8742594069730565E-4</v>
      </c>
      <c r="AX102" s="82">
        <f>Daten!BC44/Daten!BC43-1</f>
        <v>-1.4133074551170299E-4</v>
      </c>
      <c r="AY102" s="82">
        <f t="shared" si="4"/>
        <v>-4.2549530128052908E-4</v>
      </c>
    </row>
    <row r="103" spans="1:52" x14ac:dyDescent="0.45">
      <c r="A103" s="82">
        <f>Daten!F45/Daten!F44-1</f>
        <v>1.1600000000000499E-4</v>
      </c>
      <c r="B103" s="82">
        <f>Daten!G45/Daten!G44-1</f>
        <v>1.7439999999990796E-4</v>
      </c>
      <c r="C103" s="82">
        <f>Daten!H45/Daten!H44-1</f>
        <v>2.2520000000003648E-4</v>
      </c>
      <c r="D103" s="82">
        <f>Daten!I45/Daten!I44-1</f>
        <v>1.3679999999993697E-4</v>
      </c>
      <c r="E103" s="82">
        <f>Daten!J45/Daten!J44-1</f>
        <v>1.6719999999992297E-4</v>
      </c>
      <c r="F103" s="82">
        <f>Daten!K45/Daten!K44-1</f>
        <v>2.2839999999990646E-4</v>
      </c>
      <c r="G103" s="82">
        <f>Daten!L45/Daten!L44-1</f>
        <v>1.652000000000875E-4</v>
      </c>
      <c r="H103" s="82">
        <f>Daten!M45/Daten!M44-1</f>
        <v>2.1599999999999397E-4</v>
      </c>
      <c r="I103" s="82">
        <f>Daten!N45/Daten!N44-1</f>
        <v>1.7519999999993097E-4</v>
      </c>
      <c r="J103" s="82">
        <f>Daten!O45/Daten!O44-1</f>
        <v>2.8199999999989345E-4</v>
      </c>
      <c r="K103" s="82">
        <f>Daten!P45/Daten!P44-1</f>
        <v>2.0519999999990546E-4</v>
      </c>
      <c r="L103" s="82">
        <f>Daten!Q45/Daten!Q44-1</f>
        <v>1.2999999999996348E-4</v>
      </c>
      <c r="M103" s="82">
        <f>Daten!R45/Daten!R44-1</f>
        <v>2.6999999999999247E-4</v>
      </c>
      <c r="N103" s="82">
        <f>Daten!S45/Daten!S44-1</f>
        <v>2.1599999999999397E-4</v>
      </c>
      <c r="O103" s="82">
        <f>Daten!T45/Daten!T44-1</f>
        <v>1.8199999999990446E-4</v>
      </c>
      <c r="P103" s="82">
        <f>Daten!U45/Daten!U44-1</f>
        <v>2.1359999999992496E-4</v>
      </c>
      <c r="Q103" s="82">
        <f>Daten!V45/Daten!V44-1</f>
        <v>2.3159999999999847E-4</v>
      </c>
      <c r="R103" s="82">
        <f>Daten!W45/Daten!W44-1</f>
        <v>1.8199999999990446E-4</v>
      </c>
      <c r="S103" s="82">
        <f>Daten!X45/Daten!X44-1</f>
        <v>2.2119999999992146E-4</v>
      </c>
      <c r="T103" s="82">
        <f>Daten!Y45/Daten!Y44-1</f>
        <v>2.0799999999998597E-4</v>
      </c>
      <c r="U103" s="82">
        <f>Daten!Z45/Daten!Z44-1</f>
        <v>1.8519999999999648E-4</v>
      </c>
      <c r="V103" s="82">
        <f>Daten!AA45/Daten!AA44-1</f>
        <v>2.3320000000004448E-4</v>
      </c>
      <c r="W103" s="82">
        <f>Daten!AB45/Daten!AB44-1</f>
        <v>1.4280000000010951E-4</v>
      </c>
      <c r="X103" s="82">
        <f>Daten!AC45/Daten!AC44-1</f>
        <v>1.8999999999991246E-4</v>
      </c>
      <c r="Y103" s="82">
        <f>Daten!AD45/Daten!AD44-1</f>
        <v>1.5399999999998748E-4</v>
      </c>
      <c r="Z103" s="82">
        <f>Daten!AE45/Daten!AE44-1</f>
        <v>2.2799999999989495E-4</v>
      </c>
      <c r="AA103" s="82">
        <f>Daten!AF45/Daten!AF44-1</f>
        <v>1.2999999999996348E-4</v>
      </c>
      <c r="AB103" s="82">
        <f>Daten!AG45/Daten!AG44-1</f>
        <v>2.2480000000002498E-4</v>
      </c>
      <c r="AC103" s="82">
        <f>Daten!AH45/Daten!AH44-1</f>
        <v>2.6520000000007649E-4</v>
      </c>
      <c r="AD103" s="82">
        <f>Daten!AI45/Daten!AI44-1</f>
        <v>2.0519999999990546E-4</v>
      </c>
      <c r="AE103" s="82">
        <f>Daten!AJ45/Daten!AJ44-1</f>
        <v>1.7200000000006099E-4</v>
      </c>
      <c r="AF103" s="82">
        <f>Daten!AK45/Daten!AK44-1</f>
        <v>2.7519999999991995E-4</v>
      </c>
      <c r="AG103" s="82">
        <f>Daten!AL45/Daten!AL44-1</f>
        <v>2.7800000000000047E-4</v>
      </c>
      <c r="AH103" s="82">
        <f>Daten!AM45/Daten!AM44-1</f>
        <v>2.5520000000001097E-4</v>
      </c>
      <c r="AI103" s="82">
        <f>Daten!AN45/Daten!AN44-1</f>
        <v>1.9799999999992046E-4</v>
      </c>
      <c r="AJ103" s="82">
        <f>Daten!AO45/Daten!AO44-1</f>
        <v>1.9999999999997797E-4</v>
      </c>
      <c r="AK103" s="82">
        <f>Daten!AP45/Daten!AP44-1</f>
        <v>8.9999999999923475E-5</v>
      </c>
      <c r="AL103" s="82">
        <f>Daten!AQ45/Daten!AQ44-1</f>
        <v>2.5000000000008349E-4</v>
      </c>
      <c r="AM103" s="82">
        <f>Daten!AR45/Daten!AR44-1</f>
        <v>2.3520000000010199E-4</v>
      </c>
      <c r="AN103" s="82">
        <f>Daten!AS45/Daten!AS44-1</f>
        <v>2.8080000000008098E-4</v>
      </c>
      <c r="AO103" s="82">
        <f>Daten!AT45/Daten!AT44-1</f>
        <v>1.4399999999992197E-4</v>
      </c>
      <c r="AP103" s="82">
        <f>Daten!AU45/Daten!AU44-1</f>
        <v>1.7000000000000348E-4</v>
      </c>
      <c r="AQ103" s="82">
        <f>Daten!AV45/Daten!AV44-1</f>
        <v>1.5520000000002199E-4</v>
      </c>
      <c r="AR103" s="82">
        <f>Daten!AW45/Daten!AW44-1</f>
        <v>1.5520000000002199E-4</v>
      </c>
      <c r="AS103" s="82">
        <f>Daten!AX45/Daten!AX44-1</f>
        <v>5.0000000000105516E-5</v>
      </c>
      <c r="AT103" s="82">
        <f>Daten!AY45/Daten!AY44-1</f>
        <v>1.7000000000000348E-4</v>
      </c>
      <c r="AU103" s="82">
        <f>Daten!AZ45/Daten!AZ44-1</f>
        <v>1.9520000000006199E-4</v>
      </c>
      <c r="AV103" s="82">
        <f>Daten!BA45/Daten!BA44-1</f>
        <v>1.1519999999998198E-4</v>
      </c>
      <c r="AW103" s="82">
        <f>Daten!BB45/Daten!BB44-1</f>
        <v>1.9199999999996997E-4</v>
      </c>
      <c r="AX103" s="82">
        <f>Daten!BC45/Daten!BC44-1</f>
        <v>1.6159999999998398E-4</v>
      </c>
      <c r="AY103" s="82">
        <f t="shared" si="4"/>
        <v>1.9451428571426907E-4</v>
      </c>
    </row>
    <row r="104" spans="1:52" x14ac:dyDescent="0.45">
      <c r="A104" s="82">
        <f>Daten!F46/Daten!F45-1</f>
        <v>3.8051801563043774E-4</v>
      </c>
      <c r="B104" s="82">
        <f>Daten!G46/Daten!G45-1</f>
        <v>5.1768189271017562E-4</v>
      </c>
      <c r="C104" s="82">
        <f>Daten!H46/Daten!H45-1</f>
        <v>9.4316132847271916E-5</v>
      </c>
      <c r="D104" s="82">
        <f>Daten!I46/Daten!I45-1</f>
        <v>9.840301219861125E-4</v>
      </c>
      <c r="E104" s="82">
        <f>Daten!J46/Daten!J45-1</f>
        <v>2.1060123742189241E-4</v>
      </c>
      <c r="F104" s="82">
        <f>Daten!K46/Daten!K45-1</f>
        <v>1.7607549513567466E-3</v>
      </c>
      <c r="G104" s="82">
        <f>Daten!L46/Daten!L45-1</f>
        <v>1.2538216205497665E-3</v>
      </c>
      <c r="H104" s="82">
        <f>Daten!M46/Daten!M45-1</f>
        <v>9.7165999482839993E-4</v>
      </c>
      <c r="I104" s="82">
        <f>Daten!N46/Daten!N45-1</f>
        <v>-4.1936388655572365E-5</v>
      </c>
      <c r="J104" s="82">
        <f>Daten!O46/Daten!O45-1</f>
        <v>1.5453079749203624E-3</v>
      </c>
      <c r="K104" s="82">
        <f>Daten!P46/Daten!P45-1</f>
        <v>3.7581264485897492E-4</v>
      </c>
      <c r="L104" s="82">
        <f>Daten!Q46/Daten!Q45-1</f>
        <v>1.2221906307159358E-3</v>
      </c>
      <c r="M104" s="82">
        <f>Daten!R46/Daten!R45-1</f>
        <v>5.7608369298223217E-4</v>
      </c>
      <c r="N104" s="82">
        <f>Daten!S46/Daten!S45-1</f>
        <v>8.8756790326516288E-4</v>
      </c>
      <c r="O104" s="82">
        <f>Daten!T46/Daten!T45-1</f>
        <v>1.0888947878568978E-3</v>
      </c>
      <c r="P104" s="82">
        <f>Daten!U46/Daten!U45-1</f>
        <v>1.8672495248237553E-3</v>
      </c>
      <c r="Q104" s="82">
        <f>Daten!V46/Daten!V45-1</f>
        <v>1.8754115079138156E-3</v>
      </c>
      <c r="R104" s="82">
        <f>Daten!W46/Daten!W45-1</f>
        <v>9.138966978652352E-4</v>
      </c>
      <c r="S104" s="82">
        <f>Daten!X46/Daten!X45-1</f>
        <v>1.3922567085196125E-3</v>
      </c>
      <c r="T104" s="82">
        <f>Daten!Y46/Daten!Y45-1</f>
        <v>1.1879163507699797E-3</v>
      </c>
      <c r="U104" s="82">
        <f>Daten!Z46/Daten!Z45-1</f>
        <v>6.0825368081718345E-4</v>
      </c>
      <c r="V104" s="82">
        <f>Daten!AA46/Daten!AA45-1</f>
        <v>2.3320000000004448E-4</v>
      </c>
      <c r="W104" s="82">
        <f>Daten!AB46/Daten!AB45-1</f>
        <v>5.3851253936199051E-4</v>
      </c>
      <c r="X104" s="82">
        <f>Daten!AC46/Daten!AC45-1</f>
        <v>1.2213746748814813E-3</v>
      </c>
      <c r="Y104" s="82">
        <f>Daten!AD46/Daten!AD45-1</f>
        <v>1.0507471323688566E-3</v>
      </c>
      <c r="Z104" s="82">
        <f>Daten!AE46/Daten!AE45-1</f>
        <v>7.5715590826264112E-4</v>
      </c>
      <c r="AA104" s="82">
        <f>Daten!AF46/Daten!AF45-1</f>
        <v>-1.9930203668216961E-4</v>
      </c>
      <c r="AB104" s="82">
        <f>Daten!AG46/Daten!AG45-1</f>
        <v>2.0421071884937358E-3</v>
      </c>
      <c r="AC104" s="82">
        <f>Daten!AH46/Daten!AH45-1</f>
        <v>9.5330361497447669E-4</v>
      </c>
      <c r="AD104" s="82">
        <f>Daten!AI46/Daten!AI45-1</f>
        <v>6.7450004084701476E-4</v>
      </c>
      <c r="AE104" s="82">
        <f>Daten!AJ46/Daten!AJ45-1</f>
        <v>-2.6682098972160562E-3</v>
      </c>
      <c r="AF104" s="82">
        <f>Daten!AK46/Daten!AK45-1</f>
        <v>7.5313905088036925E-4</v>
      </c>
      <c r="AG104" s="82">
        <f>Daten!AL46/Daten!AL45-1</f>
        <v>4.2699499326017687E-3</v>
      </c>
      <c r="AH104" s="82">
        <f>Daten!AM46/Daten!AM45-1</f>
        <v>9.5773362261564188E-4</v>
      </c>
      <c r="AI104" s="82">
        <f>Daten!AN46/Daten!AN45-1</f>
        <v>1.3815436052027064E-3</v>
      </c>
      <c r="AJ104" s="82">
        <f>Daten!AO46/Daten!AO45-1</f>
        <v>1.3398257829713156E-3</v>
      </c>
      <c r="AK104" s="82">
        <f>Daten!AP46/Daten!AP45-1</f>
        <v>1.2963073193867913E-3</v>
      </c>
      <c r="AL104" s="82">
        <f>Daten!AQ46/Daten!AQ45-1</f>
        <v>-2.8544193110591531E-2</v>
      </c>
      <c r="AM104" s="82">
        <f>Daten!AR46/Daten!AR45-1</f>
        <v>1.6790277094820283E-3</v>
      </c>
      <c r="AN104" s="82">
        <f>Daten!AS46/Daten!AS45-1</f>
        <v>1.4093617017389981E-3</v>
      </c>
      <c r="AO104" s="82">
        <f>Daten!AT46/Daten!AT45-1</f>
        <v>2.7509457721008879E-4</v>
      </c>
      <c r="AP104" s="82">
        <f>Daten!AU46/Daten!AU45-1</f>
        <v>7.2269293523663514E-4</v>
      </c>
      <c r="AQ104" s="82">
        <f>Daten!AV46/Daten!AV45-1</f>
        <v>6.9068332933852616E-4</v>
      </c>
      <c r="AR104" s="82">
        <f>Daten!AW46/Daten!AW45-1</f>
        <v>7.5242012333065489E-4</v>
      </c>
      <c r="AS104" s="82">
        <f>Daten!AX46/Daten!AX45-1</f>
        <v>4.1896734396340563E-4</v>
      </c>
      <c r="AT104" s="82">
        <f>Daten!AY46/Daten!AY45-1</f>
        <v>3.2303135593325649E-4</v>
      </c>
      <c r="AU104" s="82">
        <f>Daten!AZ46/Daten!AZ45-1</f>
        <v>1.7843996210498148E-4</v>
      </c>
      <c r="AV104" s="82">
        <f>Daten!BA46/Daten!BA45-1</f>
        <v>2.2129692101580112E-4</v>
      </c>
      <c r="AW104" s="82">
        <f>Daten!BB46/Daten!BB45-1</f>
        <v>1.2373387421420468E-3</v>
      </c>
      <c r="AX104" s="82">
        <f>Daten!BC46/Daten!BC45-1</f>
        <v>2.0488875975699372E-4</v>
      </c>
      <c r="AY104" s="82">
        <f t="shared" si="4"/>
        <v>2.7474919383604966E-4</v>
      </c>
    </row>
    <row r="105" spans="1:52" x14ac:dyDescent="0.45">
      <c r="A105" s="82">
        <f>Daten!F47/Daten!F46-1</f>
        <v>-1.0442048988779096E-4</v>
      </c>
      <c r="B105" s="82">
        <f>Daten!G47/Daten!G46-1</f>
        <v>-2.5474477988263189E-4</v>
      </c>
      <c r="C105" s="82">
        <f>Daten!H47/Daten!H46-1</f>
        <v>-3.6686127676488489E-5</v>
      </c>
      <c r="D105" s="82">
        <f>Daten!I47/Daten!I46-1</f>
        <v>-4.4270516832944917E-4</v>
      </c>
      <c r="E105" s="82">
        <f>Daten!J47/Daten!J46-1</f>
        <v>8.0393187417815426E-5</v>
      </c>
      <c r="F105" s="82">
        <f>Daten!K47/Daten!K46-1</f>
        <v>-1.3039549513569337E-3</v>
      </c>
      <c r="G105" s="82">
        <f>Daten!L47/Daten!L46-1</f>
        <v>-1.8286211592821733E-4</v>
      </c>
      <c r="H105" s="82">
        <f>Daten!M47/Daten!M46-1</f>
        <v>-4.556328141650523E-4</v>
      </c>
      <c r="I105" s="82">
        <f>Daten!N47/Daten!N46-1</f>
        <v>8.8315037841013577E-5</v>
      </c>
      <c r="J105" s="82">
        <f>Daten!O47/Daten!O46-1</f>
        <v>5.4291588763333287E-4</v>
      </c>
      <c r="K105" s="82">
        <f>Daten!P47/Daten!P46-1</f>
        <v>4.609933608272776E-4</v>
      </c>
      <c r="L105" s="82">
        <f>Daten!Q47/Daten!Q46-1</f>
        <v>-1.3102826369073561E-3</v>
      </c>
      <c r="M105" s="82">
        <f>Daten!R47/Daten!R46-1</f>
        <v>-4.9561409321796646E-4</v>
      </c>
      <c r="N105" s="82">
        <f>Daten!S47/Daten!S46-1</f>
        <v>-6.6564601982843641E-4</v>
      </c>
      <c r="O105" s="82">
        <f>Daten!T47/Daten!T46-1</f>
        <v>-7.2489478785697781E-4</v>
      </c>
      <c r="P105" s="82">
        <f>Daten!U47/Daten!U46-1</f>
        <v>-1.4825337001478367E-3</v>
      </c>
      <c r="Q105" s="82">
        <f>Daten!V47/Daten!V46-1</f>
        <v>-1.7005192972799898E-3</v>
      </c>
      <c r="R105" s="82">
        <f>Daten!W47/Daten!W46-1</f>
        <v>-7.6175663148547734E-5</v>
      </c>
      <c r="S105" s="82">
        <f>Daten!X47/Daten!X46-1</f>
        <v>-1.1593066676810482E-3</v>
      </c>
      <c r="T105" s="82">
        <f>Daten!Y47/Daten!Y46-1</f>
        <v>-1.4549036854045738E-3</v>
      </c>
      <c r="U105" s="82">
        <f>Daten!Z47/Daten!Z46-1</f>
        <v>3.5682655681767983E-5</v>
      </c>
      <c r="V105" s="82">
        <f>Daten!AA47/Daten!AA46-1</f>
        <v>2.3320000000004448E-4</v>
      </c>
      <c r="W105" s="82">
        <f>Daten!AB47/Daten!AB46-1</f>
        <v>-1.6494525490007295E-4</v>
      </c>
      <c r="X105" s="82">
        <f>Daten!AC47/Daten!AC46-1</f>
        <v>-1.5303210527986E-3</v>
      </c>
      <c r="Y105" s="82">
        <f>Daten!AD47/Daten!AD46-1</f>
        <v>-1.0570465902142168E-3</v>
      </c>
      <c r="Z105" s="82">
        <f>Daten!AE47/Daten!AE46-1</f>
        <v>-6.2711106524926397E-4</v>
      </c>
      <c r="AA105" s="82">
        <f>Daten!AF47/Daten!AF46-1</f>
        <v>-2.4076349654789109E-4</v>
      </c>
      <c r="AB105" s="82">
        <f>Daten!AG47/Daten!AG46-1</f>
        <v>-1.5097371326108222E-3</v>
      </c>
      <c r="AC105" s="82">
        <f>Daten!AH47/Daten!AH46-1</f>
        <v>-9.0928106038212775E-4</v>
      </c>
      <c r="AD105" s="82">
        <f>Daten!AI47/Daten!AI46-1</f>
        <v>-1.787350318442904E-4</v>
      </c>
      <c r="AE105" s="82">
        <f>Daten!AJ47/Daten!AJ46-1</f>
        <v>-5.23354252894348E-3</v>
      </c>
      <c r="AF105" s="82">
        <f>Daten!AK47/Daten!AK46-1</f>
        <v>1.099494254364064E-3</v>
      </c>
      <c r="AG105" s="82">
        <f>Daten!AL47/Daten!AL46-1</f>
        <v>8.6041268112113656E-4</v>
      </c>
      <c r="AH105" s="82">
        <f>Daten!AM47/Daten!AM46-1</f>
        <v>-4.5514593903239753E-4</v>
      </c>
      <c r="AI105" s="82">
        <f>Daten!AN47/Daten!AN46-1</f>
        <v>-1.029440555955552E-3</v>
      </c>
      <c r="AJ105" s="82">
        <f>Daten!AO47/Daten!AO46-1</f>
        <v>-1.1512333137504438E-3</v>
      </c>
      <c r="AK105" s="82">
        <f>Daten!AP47/Daten!AP46-1</f>
        <v>-1.2129568094715326E-3</v>
      </c>
      <c r="AL105" s="82">
        <f>Daten!AQ47/Daten!AQ46-1</f>
        <v>-8.5954072279040838E-3</v>
      </c>
      <c r="AM105" s="82">
        <f>Daten!AR47/Daten!AR46-1</f>
        <v>2.3497941177588189E-3</v>
      </c>
      <c r="AN105" s="82">
        <f>Daten!AS47/Daten!AS46-1</f>
        <v>-3.637332516323033E-4</v>
      </c>
      <c r="AO105" s="82">
        <f>Daten!AT47/Daten!AT46-1</f>
        <v>-7.4512951479532852E-5</v>
      </c>
      <c r="AP105" s="82">
        <f>Daten!AU47/Daten!AU46-1</f>
        <v>-4.6844477564000897E-4</v>
      </c>
      <c r="AQ105" s="82">
        <f>Daten!AV47/Daten!AV46-1</f>
        <v>-6.8782622264795812E-4</v>
      </c>
      <c r="AR105" s="82">
        <f>Daten!AW47/Daten!AW46-1</f>
        <v>-4.9437051447853708E-4</v>
      </c>
      <c r="AS105" s="82">
        <f>Daten!AX47/Daten!AX46-1</f>
        <v>-4.1375279909139362E-4</v>
      </c>
      <c r="AT105" s="82">
        <f>Daten!AY47/Daten!AY46-1</f>
        <v>-3.3180420627687557E-4</v>
      </c>
      <c r="AU105" s="82">
        <f>Daten!AZ47/Daten!AZ46-1</f>
        <v>-2.4498248383042487E-4</v>
      </c>
      <c r="AV105" s="82">
        <f>Daten!BA47/Daten!BA46-1</f>
        <v>-1.9874516820217458E-4</v>
      </c>
      <c r="AW105" s="82">
        <f>Daten!BB47/Daten!BB46-1</f>
        <v>-1.3332945152021436E-3</v>
      </c>
      <c r="AX105" s="82">
        <f>Daten!BC47/Daten!BC46-1</f>
        <v>4.2124198575455019E-4</v>
      </c>
      <c r="AY105" s="82">
        <f t="shared" si="4"/>
        <v>-6.9553374058158805E-4</v>
      </c>
    </row>
    <row r="106" spans="1:52" x14ac:dyDescent="0.45">
      <c r="A106" s="82">
        <f>Daten!F48/Daten!F47-1</f>
        <v>-1.6306012265543401E-5</v>
      </c>
      <c r="B106" s="82">
        <f>Daten!G48/Daten!G47-1</f>
        <v>-1.2625385894649011E-4</v>
      </c>
      <c r="C106" s="82">
        <f>Daten!H48/Daten!H47-1</f>
        <v>-7.3640250657380779E-4</v>
      </c>
      <c r="D106" s="82">
        <f>Daten!I48/Daten!I47-1</f>
        <v>3.1519165660687243E-4</v>
      </c>
      <c r="E106" s="82">
        <f>Daten!J48/Daten!J47-1</f>
        <v>1.2379008623475407E-4</v>
      </c>
      <c r="F106" s="82">
        <f>Daten!K48/Daten!K47-1</f>
        <v>-1.1285881877953763E-4</v>
      </c>
      <c r="G106" s="82">
        <f>Daten!L48/Daten!L47-1</f>
        <v>-9.6029771427197375E-5</v>
      </c>
      <c r="H106" s="82">
        <f>Daten!M48/Daten!M47-1</f>
        <v>-2.0429857330817036E-4</v>
      </c>
      <c r="I106" s="82">
        <f>Daten!N48/Daten!N47-1</f>
        <v>1.3175099972340121E-4</v>
      </c>
      <c r="J106" s="82">
        <f>Daten!O48/Daten!O47-1</f>
        <v>-7.6260539094419322E-4</v>
      </c>
      <c r="K106" s="82">
        <f>Daten!P48/Daten!P47-1</f>
        <v>1.6257823423604378E-4</v>
      </c>
      <c r="L106" s="82">
        <f>Daten!Q48/Daten!Q47-1</f>
        <v>-3.6775877300243565E-4</v>
      </c>
      <c r="M106" s="82">
        <f>Daten!R48/Daten!R47-1</f>
        <v>1.9336430509442337E-4</v>
      </c>
      <c r="N106" s="82">
        <f>Daten!S48/Daten!S47-1</f>
        <v>5.8202146930863563E-6</v>
      </c>
      <c r="O106" s="82">
        <f>Daten!T48/Daten!T47-1</f>
        <v>-1.2071959137760491E-4</v>
      </c>
      <c r="P106" s="82">
        <f>Daten!U48/Daten!U47-1</f>
        <v>-8.9244982198832812E-4</v>
      </c>
      <c r="Q106" s="82">
        <f>Daten!V48/Daten!V47-1</f>
        <v>-8.8224064962438842E-4</v>
      </c>
      <c r="R106" s="82">
        <f>Daten!W48/Daten!W47-1</f>
        <v>-2.9172103471675204E-4</v>
      </c>
      <c r="S106" s="82">
        <f>Daten!X48/Daten!X47-1</f>
        <v>-7.4357299382854514E-4</v>
      </c>
      <c r="T106" s="82">
        <f>Daten!Y48/Daten!Y47-1</f>
        <v>-3.049462980986295E-4</v>
      </c>
      <c r="U106" s="82">
        <f>Daten!Z48/Daten!Z47-1</f>
        <v>1.8519999999999648E-4</v>
      </c>
      <c r="V106" s="82">
        <f>Daten!AA48/Daten!AA47-1</f>
        <v>2.3320000000004448E-4</v>
      </c>
      <c r="W106" s="82">
        <f>Daten!AB48/Daten!AB47-1</f>
        <v>5.4832715538299936E-5</v>
      </c>
      <c r="X106" s="82">
        <f>Daten!AC48/Daten!AC47-1</f>
        <v>-2.842854083624502E-4</v>
      </c>
      <c r="Y106" s="82">
        <f>Daten!AD48/Daten!AD47-1</f>
        <v>-2.5043381650358132E-4</v>
      </c>
      <c r="Z106" s="82">
        <f>Daten!AE48/Daten!AE47-1</f>
        <v>-3.8382609119136379E-4</v>
      </c>
      <c r="AA106" s="82">
        <f>Daten!AF48/Daten!AF47-1</f>
        <v>1.2999999999996348E-4</v>
      </c>
      <c r="AB106" s="82">
        <f>Daten!AG48/Daten!AG47-1</f>
        <v>-4.7924880649174995E-4</v>
      </c>
      <c r="AC106" s="82">
        <f>Daten!AH48/Daten!AH47-1</f>
        <v>4.3017982753941197E-3</v>
      </c>
      <c r="AD106" s="82">
        <f>Daten!AI48/Daten!AI47-1</f>
        <v>-3.4997272565795434E-4</v>
      </c>
      <c r="AE106" s="82">
        <f>Daten!AJ48/Daten!AJ47-1</f>
        <v>5.02963096233211E-4</v>
      </c>
      <c r="AF106" s="82">
        <f>Daten!AK48/Daten!AK47-1</f>
        <v>-9.4009616514778571E-4</v>
      </c>
      <c r="AG106" s="82">
        <f>Daten!AL48/Daten!AL47-1</f>
        <v>-1.3653500156352028E-3</v>
      </c>
      <c r="AH106" s="82">
        <f>Daten!AM48/Daten!AM47-1</f>
        <v>2.5520000000001097E-4</v>
      </c>
      <c r="AI106" s="82">
        <f>Daten!AN48/Daten!AN47-1</f>
        <v>-1.0940295265160493E-4</v>
      </c>
      <c r="AJ106" s="82">
        <f>Daten!AO48/Daten!AO47-1</f>
        <v>-6.042884657664338E-4</v>
      </c>
      <c r="AK106" s="82">
        <f>Daten!AP48/Daten!AP47-1</f>
        <v>-3.4518907356162476E-4</v>
      </c>
      <c r="AL106" s="82">
        <f>Daten!AQ48/Daten!AQ47-1</f>
        <v>1.1749088150775355E-2</v>
      </c>
      <c r="AM106" s="82">
        <f>Daten!AR48/Daten!AR47-1</f>
        <v>-1.4980065402279141E-3</v>
      </c>
      <c r="AN106" s="82">
        <f>Daten!AS48/Daten!AS47-1</f>
        <v>-8.2170754018728864E-5</v>
      </c>
      <c r="AO106" s="82">
        <f>Daten!AT48/Daten!AT47-1</f>
        <v>-4.2464874566716659E-4</v>
      </c>
      <c r="AP106" s="82">
        <f>Daten!AU48/Daten!AU47-1</f>
        <v>1.7000000000000348E-4</v>
      </c>
      <c r="AQ106" s="82">
        <f>Daten!AV48/Daten!AV47-1</f>
        <v>1.5520000000002199E-4</v>
      </c>
      <c r="AR106" s="82">
        <f>Daten!AW48/Daten!AW47-1</f>
        <v>1.5520000000002199E-4</v>
      </c>
      <c r="AS106" s="82">
        <f>Daten!AX48/Daten!AX47-1</f>
        <v>5.0000000000105516E-5</v>
      </c>
      <c r="AT106" s="82">
        <f>Daten!AY48/Daten!AY47-1</f>
        <v>1.7000000000000348E-4</v>
      </c>
      <c r="AU106" s="82">
        <f>Daten!AZ48/Daten!AZ47-1</f>
        <v>1.9520000000006199E-4</v>
      </c>
      <c r="AV106" s="82">
        <f>Daten!BA48/Daten!BA47-1</f>
        <v>1.1519999999998198E-4</v>
      </c>
      <c r="AW106" s="82">
        <f>Daten!BB48/Daten!BB47-1</f>
        <v>-5.945281025171445E-4</v>
      </c>
      <c r="AX106" s="82">
        <f>Daten!BC48/Daten!BC47-1</f>
        <v>-3.1452894597394643E-4</v>
      </c>
      <c r="AY106" s="82">
        <f t="shared" si="4"/>
        <v>1.1607638862324593E-4</v>
      </c>
    </row>
    <row r="107" spans="1:52" x14ac:dyDescent="0.45">
      <c r="A107" s="82">
        <f>Daten!F49/Daten!F48-1</f>
        <v>2.7773594027946658E-5</v>
      </c>
      <c r="B107" s="82">
        <f>Daten!G49/Daten!G48-1</f>
        <v>2.6032234312367564E-4</v>
      </c>
      <c r="C107" s="82">
        <f>Daten!H49/Daten!H48-1</f>
        <v>9.390726501412594E-5</v>
      </c>
      <c r="D107" s="82">
        <f>Daten!I49/Daten!I48-1</f>
        <v>-4.4324100313342107E-4</v>
      </c>
      <c r="E107" s="82">
        <f>Daten!J49/Daten!J48-1</f>
        <v>2.1060991376509186E-4</v>
      </c>
      <c r="F107" s="82">
        <f>Daten!K49/Daten!K48-1</f>
        <v>-7.1144677657775102E-4</v>
      </c>
      <c r="G107" s="82">
        <f>Daten!L49/Daten!L48-1</f>
        <v>2.5229405060844812E-4</v>
      </c>
      <c r="H107" s="82">
        <f>Daten!M49/Daten!M48-1</f>
        <v>3.8416824291576113E-4</v>
      </c>
      <c r="I107" s="82">
        <f>Daten!N49/Daten!N48-1</f>
        <v>4.4826911943296466E-5</v>
      </c>
      <c r="J107" s="82">
        <f>Daten!O49/Daten!O48-1</f>
        <v>9.3517275344678907E-4</v>
      </c>
      <c r="K107" s="82">
        <f>Daten!P49/Daten!P48-1</f>
        <v>-6.054093179178599E-4</v>
      </c>
      <c r="L107" s="82">
        <f>Daten!Q49/Daten!Q48-1</f>
        <v>-8.6723231394869593E-4</v>
      </c>
      <c r="M107" s="82">
        <f>Daten!R49/Daten!R48-1</f>
        <v>7.8351578063351468E-5</v>
      </c>
      <c r="N107" s="82">
        <f>Daten!S49/Daten!S48-1</f>
        <v>1.318995965799985E-4</v>
      </c>
      <c r="O107" s="82">
        <f>Daten!T49/Daten!T48-1</f>
        <v>5.2198410420034591E-5</v>
      </c>
      <c r="P107" s="82">
        <f>Daten!U49/Daten!U48-1</f>
        <v>5.5422314052244737E-4</v>
      </c>
      <c r="Q107" s="82">
        <f>Daten!V49/Daten!V48-1</f>
        <v>2.5019354948474515E-5</v>
      </c>
      <c r="R107" s="82">
        <f>Daten!W49/Daten!W48-1</f>
        <v>3.9739180221443071E-4</v>
      </c>
      <c r="S107" s="82">
        <f>Daten!X49/Daten!X48-1</f>
        <v>2.2119999999992146E-4</v>
      </c>
      <c r="T107" s="82">
        <f>Daten!Y49/Daten!Y48-1</f>
        <v>-2.1991853092884206E-4</v>
      </c>
      <c r="U107" s="82">
        <f>Daten!Z49/Daten!Z48-1</f>
        <v>2.1510758717080414E-4</v>
      </c>
      <c r="V107" s="82">
        <f>Daten!AA49/Daten!AA48-1</f>
        <v>2.3320000000004448E-4</v>
      </c>
      <c r="W107" s="82">
        <f>Daten!AB49/Daten!AB48-1</f>
        <v>-3.3188040865494983E-5</v>
      </c>
      <c r="X107" s="82">
        <f>Daten!AC49/Daten!AC48-1</f>
        <v>-2.5755621657963523E-5</v>
      </c>
      <c r="Y107" s="82">
        <f>Daten!AD49/Daten!AD48-1</f>
        <v>-5.2089443559000248E-4</v>
      </c>
      <c r="Z107" s="82">
        <f>Daten!AE49/Daten!AE48-1</f>
        <v>-2.2122090618970081E-4</v>
      </c>
      <c r="AA107" s="82">
        <f>Daten!AF49/Daten!AF48-1</f>
        <v>2.2615426709915454E-4</v>
      </c>
      <c r="AB107" s="82">
        <f>Daten!AG49/Daten!AG48-1</f>
        <v>3.9056125464709268E-4</v>
      </c>
      <c r="AC107" s="82">
        <f>Daten!AH49/Daten!AH48-1</f>
        <v>-3.4470861297131172E-3</v>
      </c>
      <c r="AD107" s="82">
        <f>Daten!AI49/Daten!AI48-1</f>
        <v>4.6152175556368746E-4</v>
      </c>
      <c r="AE107" s="82">
        <f>Daten!AJ49/Daten!AJ48-1</f>
        <v>1.7200000000006099E-4</v>
      </c>
      <c r="AF107" s="82">
        <f>Daten!AK49/Daten!AK48-1</f>
        <v>5.7934301411322053E-4</v>
      </c>
      <c r="AG107" s="82">
        <f>Daten!AL49/Daten!AL48-1</f>
        <v>-9.3941219690085731E-5</v>
      </c>
      <c r="AH107" s="82">
        <f>Daten!AM49/Daten!AM48-1</f>
        <v>-8.0075490051056963E-4</v>
      </c>
      <c r="AI107" s="82">
        <f>Daten!AN49/Daten!AN48-1</f>
        <v>-4.174594355914607E-4</v>
      </c>
      <c r="AJ107" s="82">
        <f>Daten!AO49/Daten!AO48-1</f>
        <v>4.1179931261203784E-4</v>
      </c>
      <c r="AK107" s="82">
        <f>Daten!AP49/Daten!AP48-1</f>
        <v>1.3460249610699471E-3</v>
      </c>
      <c r="AL107" s="82">
        <f>Daten!AQ49/Daten!AQ48-1</f>
        <v>-1.4940168080099792E-3</v>
      </c>
      <c r="AM107" s="82">
        <f>Daten!AR49/Daten!AR48-1</f>
        <v>2.7755573045773474E-4</v>
      </c>
      <c r="AN107" s="82">
        <f>Daten!AS49/Daten!AS48-1</f>
        <v>3.2114506778913032E-4</v>
      </c>
      <c r="AO107" s="82">
        <f>Daten!AT49/Daten!AT48-1</f>
        <v>4.9402579521440337E-4</v>
      </c>
      <c r="AP107" s="82">
        <f>Daten!AU49/Daten!AU48-1</f>
        <v>7.0567142560040708E-4</v>
      </c>
      <c r="AQ107" s="82">
        <f>Daten!AV49/Daten!AV48-1</f>
        <v>9.9822622264800209E-4</v>
      </c>
      <c r="AR107" s="82">
        <f>Daten!AW49/Daten!AW48-1</f>
        <v>8.2219526499849316E-4</v>
      </c>
      <c r="AS107" s="82">
        <f>Daten!AX49/Daten!AX48-1</f>
        <v>6.5328036094114417E-4</v>
      </c>
      <c r="AT107" s="82">
        <f>Daten!AY49/Daten!AY48-1</f>
        <v>5.0601780297721E-4</v>
      </c>
      <c r="AU107" s="82">
        <f>Daten!AZ49/Daten!AZ48-1</f>
        <v>4.5517121557581142E-4</v>
      </c>
      <c r="AV107" s="82">
        <f>Daten!BA49/Daten!BA48-1</f>
        <v>4.2914516820213855E-4</v>
      </c>
      <c r="AW107" s="82">
        <f>Daten!BB49/Daten!BB48-1</f>
        <v>7.6019091934376171E-4</v>
      </c>
      <c r="AX107" s="82">
        <f>Daten!BC49/Daten!BC48-1</f>
        <v>4.6465153732544451E-4</v>
      </c>
      <c r="AY107" s="82">
        <f t="shared" si="4"/>
        <v>9.5163440542665983E-5</v>
      </c>
    </row>
    <row r="108" spans="1:52" x14ac:dyDescent="0.45">
      <c r="A108" s="91" cm="1">
        <f t="array" ref="A108">PRODUCT(1+A76:A107)-1</f>
        <v>2.9658393388294346E-3</v>
      </c>
      <c r="B108" s="91" cm="1">
        <f t="array" ref="B108">PRODUCT(1+B76:B107)-1</f>
        <v>4.9897429602703269E-3</v>
      </c>
      <c r="C108" s="91" cm="1">
        <f t="array" ref="C108">PRODUCT(1+C76:C107)-1</f>
        <v>1.7644277164960975E-3</v>
      </c>
      <c r="D108" s="91" cm="1">
        <f t="array" ref="D108">PRODUCT(1+D76:D107)-1</f>
        <v>5.4585558705959603E-3</v>
      </c>
      <c r="E108" s="91" cm="1">
        <f t="array" ref="E108">PRODUCT(1+E76:E107)-1</f>
        <v>4.8407919244908282E-3</v>
      </c>
      <c r="F108" s="91" cm="1">
        <f t="array" ref="F108">PRODUCT(1+F76:F107)-1</f>
        <v>3.1078073837751408E-3</v>
      </c>
      <c r="G108" s="91" cm="1">
        <f t="array" ref="G108">PRODUCT(1+G76:G107)-1</f>
        <v>3.8123478607758887E-3</v>
      </c>
      <c r="H108" s="91" cm="1">
        <f t="array" ref="H108">PRODUCT(1+H76:H107)-1</f>
        <v>5.7485177873395354E-3</v>
      </c>
      <c r="I108" s="91" cm="1">
        <f t="array" ref="I108">PRODUCT(1+I76:I107)-1</f>
        <v>4.1354866207587992E-3</v>
      </c>
      <c r="J108" s="91" cm="1">
        <f t="array" ref="J108">PRODUCT(1+J76:J107)-1</f>
        <v>2.3765030462250092E-2</v>
      </c>
      <c r="K108" s="91" cm="1">
        <f t="array" ref="K108">PRODUCT(1+K76:K107)-1</f>
        <v>5.7271822197664246E-3</v>
      </c>
      <c r="L108" s="91" cm="1">
        <f t="array" ref="L108">PRODUCT(1+L76:L107)-1</f>
        <v>9.5657400052018282E-4</v>
      </c>
      <c r="M108" s="91" cm="1">
        <f t="array" ref="M108">PRODUCT(1+M76:M107)-1</f>
        <v>5.551790133628387E-3</v>
      </c>
      <c r="N108" s="91" cm="1">
        <f t="array" ref="N108">PRODUCT(1+N76:N107)-1</f>
        <v>6.3809420948925943E-3</v>
      </c>
      <c r="O108" s="91" cm="1">
        <f t="array" ref="O108">PRODUCT(1+O76:O107)-1</f>
        <v>4.3162475378877296E-3</v>
      </c>
      <c r="P108" s="91" cm="1">
        <f t="array" ref="P108">PRODUCT(1+P76:P107)-1</f>
        <v>5.5545472919695804E-3</v>
      </c>
      <c r="Q108" s="91" cm="1">
        <f t="array" ref="Q108">PRODUCT(1+Q76:Q107)-1</f>
        <v>4.2697150978796561E-3</v>
      </c>
      <c r="R108" s="91" cm="1">
        <f t="array" ref="R108">PRODUCT(1+R76:R107)-1</f>
        <v>6.3986592832978584E-3</v>
      </c>
      <c r="S108" s="91" cm="1">
        <f t="array" ref="S108">PRODUCT(1+S76:S107)-1</f>
        <v>4.5570069107689903E-3</v>
      </c>
      <c r="T108" s="91" cm="1">
        <f t="array" ref="T108">PRODUCT(1+T76:T107)-1</f>
        <v>1.8761157214852719E-3</v>
      </c>
      <c r="U108" s="91" cm="1">
        <f t="array" ref="U108">PRODUCT(1+U76:U107)-1</f>
        <v>6.0315194815412365E-3</v>
      </c>
      <c r="V108" s="91" cm="1">
        <f t="array" ref="V108">PRODUCT(1+V76:V107)-1</f>
        <v>8.1647249934690969E-3</v>
      </c>
      <c r="W108" s="91" cm="1">
        <f t="array" ref="W108">PRODUCT(1+W76:W107)-1</f>
        <v>3.9602788242820708E-3</v>
      </c>
      <c r="X108" s="91" cm="1">
        <f t="array" ref="X108">PRODUCT(1+X76:X107)-1</f>
        <v>3.1889048514799345E-3</v>
      </c>
      <c r="Y108" s="91" cm="1">
        <f t="array" ref="Y108">PRODUCT(1+Y76:Y107)-1</f>
        <v>-1.1534000762003505E-4</v>
      </c>
      <c r="Z108" s="91" cm="1">
        <f t="array" ref="Z108">PRODUCT(1+Z76:Z107)-1</f>
        <v>2.6517724473646975E-3</v>
      </c>
      <c r="AA108" s="91" cm="1">
        <f t="array" ref="AA108">PRODUCT(1+AA76:AA107)-1</f>
        <v>3.984589565205976E-3</v>
      </c>
      <c r="AB108" s="91" cm="1">
        <f t="array" ref="AB108">PRODUCT(1+AB76:AB107)-1</f>
        <v>5.4519929671470457E-3</v>
      </c>
      <c r="AC108" s="91" cm="1">
        <f t="array" ref="AC108">PRODUCT(1+AC76:AC107)-1</f>
        <v>7.6830373608915981E-3</v>
      </c>
      <c r="AD108" s="91" cm="1">
        <f t="array" ref="AD108">PRODUCT(1+AD76:AD107)-1</f>
        <v>6.1094254612219512E-3</v>
      </c>
      <c r="AE108" s="91" cm="1">
        <f t="array" ref="AE108">PRODUCT(1+AE76:AE107)-1</f>
        <v>-1.344864896019704E-2</v>
      </c>
      <c r="AF108" s="91" cm="1">
        <f t="array" ref="AF108">PRODUCT(1+AF76:AF107)-1</f>
        <v>9.6671491138666799E-3</v>
      </c>
      <c r="AG108" s="91" cm="1">
        <f t="array" ref="AG108">PRODUCT(1+AG76:AG107)-1</f>
        <v>6.1334884049633054E-3</v>
      </c>
      <c r="AH108" s="91" cm="1">
        <f t="array" ref="AH108">PRODUCT(1+AH76:AH107)-1</f>
        <v>6.6751850970863114E-3</v>
      </c>
      <c r="AI108" s="91" cm="1">
        <f t="array" ref="AI108">PRODUCT(1+AI76:AI107)-1</f>
        <v>3.2586291473273299E-3</v>
      </c>
      <c r="AJ108" s="91" cm="1">
        <f t="array" ref="AJ108">PRODUCT(1+AJ76:AJ107)-1</f>
        <v>3.3523638041605963E-3</v>
      </c>
      <c r="AK108" s="91" cm="1">
        <f t="array" ref="AK108">PRODUCT(1+AK76:AK107)-1</f>
        <v>1.5653821406467205E-3</v>
      </c>
      <c r="AL108" s="91" cm="1">
        <f t="array" ref="AL108">PRODUCT(1+AL76:AL107)-1</f>
        <v>-5.5197151630319352E-2</v>
      </c>
      <c r="AM108" s="91" cm="1">
        <f t="array" ref="AM108">PRODUCT(1+AM76:AM107)-1</f>
        <v>1.3392691475645702E-2</v>
      </c>
      <c r="AN108" s="91" cm="1">
        <f t="array" ref="AN108">PRODUCT(1+AN76:AN107)-1</f>
        <v>7.5169095873315328E-3</v>
      </c>
      <c r="AO108" s="91" cm="1">
        <f t="array" ref="AO108">PRODUCT(1+AO76:AO107)-1</f>
        <v>4.9230322231303969E-3</v>
      </c>
      <c r="AP108" s="91" cm="1">
        <f t="array" ref="AP108">PRODUCT(1+AP76:AP107)-1</f>
        <v>5.9082414896565183E-3</v>
      </c>
      <c r="AQ108" s="91" cm="1">
        <f t="array" ref="AQ108">PRODUCT(1+AQ76:AQ107)-1</f>
        <v>5.6360442522385146E-3</v>
      </c>
      <c r="AR108" s="91" cm="1">
        <f t="array" ref="AR108">PRODUCT(1+AR76:AR107)-1</f>
        <v>5.5815536570622548E-3</v>
      </c>
      <c r="AS108" s="91" cm="1">
        <f t="array" ref="AS108">PRODUCT(1+AS76:AS107)-1</f>
        <v>4.1164160776767655E-3</v>
      </c>
      <c r="AT108" s="91" cm="1">
        <f t="array" ref="AT108">PRODUCT(1+AT76:AT107)-1</f>
        <v>5.0362868285867002E-3</v>
      </c>
      <c r="AU108" s="91" cm="1">
        <f t="array" ref="AU108">PRODUCT(1+AU76:AU107)-1</f>
        <v>6.1615376952215417E-3</v>
      </c>
      <c r="AV108" s="91" cm="1">
        <f t="array" ref="AV108">PRODUCT(1+AV76:AV107)-1</f>
        <v>3.9038730355509532E-3</v>
      </c>
      <c r="AW108" s="91" cm="1">
        <f t="array" ref="AW108">PRODUCT(1+AW76:AW107)-1</f>
        <v>1.7403776386086811E-3</v>
      </c>
      <c r="AX108" s="91" cm="1">
        <f t="array" ref="AX108">PRODUCT(1+AX76:AX107)-1</f>
        <v>4.4004886860804504E-3</v>
      </c>
      <c r="AY108" s="91" cm="1">
        <f t="array" ref="AY108">PRODUCT(1+AY76:AY107)-1</f>
        <v>3.6800932166873856E-3</v>
      </c>
    </row>
    <row r="109" spans="1:52" x14ac:dyDescent="0.45">
      <c r="AZ109" s="95"/>
    </row>
    <row r="110" spans="1:52" x14ac:dyDescent="0.45">
      <c r="A110" s="82"/>
      <c r="B110" s="82" t="s">
        <v>328</v>
      </c>
      <c r="C110" s="82" t="s">
        <v>314</v>
      </c>
      <c r="D110" s="82" t="s">
        <v>12</v>
      </c>
      <c r="E110" s="82" t="s">
        <v>13</v>
      </c>
      <c r="F110" s="82" t="s">
        <v>315</v>
      </c>
      <c r="G110" s="82" t="s">
        <v>316</v>
      </c>
      <c r="H110" s="82" t="s">
        <v>14</v>
      </c>
      <c r="I110" s="82" t="s">
        <v>317</v>
      </c>
      <c r="J110" s="82" t="s">
        <v>326</v>
      </c>
      <c r="K110" s="82" t="s">
        <v>332</v>
      </c>
      <c r="N110" s="99" t="s">
        <v>336</v>
      </c>
      <c r="O110" s="82" t="s">
        <v>328</v>
      </c>
      <c r="P110" s="82" t="s">
        <v>314</v>
      </c>
      <c r="Q110" s="82" t="s">
        <v>12</v>
      </c>
      <c r="R110" s="82" t="s">
        <v>13</v>
      </c>
      <c r="S110" s="82" t="s">
        <v>315</v>
      </c>
      <c r="T110" s="82" t="s">
        <v>316</v>
      </c>
      <c r="U110" s="82" t="s">
        <v>14</v>
      </c>
      <c r="V110" s="82" t="s">
        <v>317</v>
      </c>
      <c r="W110" s="82" t="s">
        <v>326</v>
      </c>
      <c r="X110" s="82" t="s">
        <v>332</v>
      </c>
      <c r="Z110" s="99" t="s">
        <v>337</v>
      </c>
      <c r="AA110" s="82" t="s">
        <v>328</v>
      </c>
      <c r="AB110" s="82" t="s">
        <v>314</v>
      </c>
      <c r="AC110" s="82" t="s">
        <v>12</v>
      </c>
      <c r="AD110" s="82" t="s">
        <v>13</v>
      </c>
      <c r="AE110" s="82" t="s">
        <v>315</v>
      </c>
      <c r="AF110" s="82" t="s">
        <v>316</v>
      </c>
      <c r="AG110" s="82" t="s">
        <v>14</v>
      </c>
      <c r="AH110" s="82" t="s">
        <v>317</v>
      </c>
      <c r="AI110" s="82" t="s">
        <v>326</v>
      </c>
      <c r="AJ110" s="82" t="s">
        <v>332</v>
      </c>
    </row>
    <row r="111" spans="1:52" x14ac:dyDescent="0.45">
      <c r="A111" s="82" t="str" cm="1">
        <f t="array" ref="A111:A161">TRANSPOSE(A75:AY75)</f>
        <v>APPLE INC</v>
      </c>
      <c r="B111" s="93" cm="1">
        <f t="array" ref="B111:B161">TRANSPOSE(A108:AY108)</f>
        <v>2.9658393388294346E-3</v>
      </c>
      <c r="C111" s="93" t="str">
        <f>'FIM IA 2'!I24</f>
        <v>2027-09-12</v>
      </c>
      <c r="D111" s="93">
        <f>'FIM IA 2'!J24/100</f>
        <v>2.8999999999999998E-2</v>
      </c>
      <c r="E111" s="93">
        <f>'FIM IA 2'!K24</f>
        <v>3.5999999999999997E-2</v>
      </c>
      <c r="F111" s="93">
        <f>'FIM IA 2'!M24</f>
        <v>1.4E-3</v>
      </c>
      <c r="G111" s="94">
        <f>'FIM IA 2'!N24</f>
        <v>1.91</v>
      </c>
      <c r="H111" s="93" t="str">
        <f>'FIM IA 2'!L24</f>
        <v>AA+</v>
      </c>
      <c r="I111" s="94">
        <f>(C111-Daten!$E$49)/365</f>
        <v>1.8191780821917809</v>
      </c>
      <c r="J111" s="82">
        <f>VLOOKUP(H111,$A$51:$B$72,2,FALSE)</f>
        <v>2</v>
      </c>
      <c r="K111" s="94">
        <f>_xlfn.RANK.EQ(B111,$B$111:$B$160,0)</f>
        <v>41</v>
      </c>
      <c r="L111" s="90"/>
      <c r="M111" s="90"/>
      <c r="N111" s="103" t="str" cm="1">
        <f t="array" ref="N111:X160">_xlfn._xlws.SORT(A111:K160,11,1)</f>
        <v>EGYPT (ARAB REPUBLIC OF) MTN RegS</v>
      </c>
      <c r="O111" s="98">
        <v>2.3765030462250092E-2</v>
      </c>
      <c r="P111" s="93" t="str">
        <v>2032-01-15</v>
      </c>
      <c r="Q111" s="93">
        <v>7.0499999999999993E-2</v>
      </c>
      <c r="R111" s="93">
        <v>8.2500000000000004E-2</v>
      </c>
      <c r="S111" s="93">
        <v>4.7199999999999999E-2</v>
      </c>
      <c r="T111" s="94">
        <v>4.9400000000000004</v>
      </c>
      <c r="U111" s="93" t="str">
        <v>B-</v>
      </c>
      <c r="V111" s="93">
        <v>6.1643835616438354</v>
      </c>
      <c r="W111" s="94">
        <v>16</v>
      </c>
      <c r="X111" s="103">
        <v>1</v>
      </c>
      <c r="Y111" s="90"/>
      <c r="Z111" s="101" t="str" cm="1">
        <f t="array" ref="Z111:AJ160">_xlfn._xlws.SORT(A111:K160,10,1)</f>
        <v>APPLE INC</v>
      </c>
      <c r="AA111" s="93">
        <v>2.9658393388294346E-3</v>
      </c>
      <c r="AB111" s="93" t="str">
        <v>2027-09-12</v>
      </c>
      <c r="AC111" s="93">
        <v>2.8999999999999998E-2</v>
      </c>
      <c r="AD111" s="93">
        <v>3.5999999999999997E-2</v>
      </c>
      <c r="AE111" s="93">
        <v>1.4E-3</v>
      </c>
      <c r="AF111" s="94">
        <v>1.91</v>
      </c>
      <c r="AG111" s="93" t="str">
        <v>AA+</v>
      </c>
      <c r="AH111" s="94">
        <v>1.8191780821917809</v>
      </c>
      <c r="AI111" s="82">
        <v>2</v>
      </c>
      <c r="AJ111" s="82">
        <v>41</v>
      </c>
    </row>
    <row r="112" spans="1:52" x14ac:dyDescent="0.45">
      <c r="A112" s="82" t="str">
        <v>AUSTRALIA AND NEW ZEALAND BANKING MTN</v>
      </c>
      <c r="B112" s="93">
        <v>4.9897429602703269E-3</v>
      </c>
      <c r="C112" s="93" t="str">
        <f>'FIM IA 2'!I25</f>
        <v>2028-06-18</v>
      </c>
      <c r="D112" s="93">
        <f>'FIM IA 2'!J25/100</f>
        <v>4.36E-2</v>
      </c>
      <c r="E112" s="93">
        <f>'FIM IA 2'!K25</f>
        <v>3.85E-2</v>
      </c>
      <c r="F112" s="93">
        <f>'FIM IA 2'!M25</f>
        <v>4.1000000000000003E-3</v>
      </c>
      <c r="G112" s="94">
        <f>'FIM IA 2'!N25</f>
        <v>2.58</v>
      </c>
      <c r="H112" s="93" t="str">
        <f>'FIM IA 2'!L25</f>
        <v>AA-</v>
      </c>
      <c r="I112" s="94">
        <f>(C112-Daten!$E$49)/365</f>
        <v>2.5863013698630137</v>
      </c>
      <c r="J112" s="82">
        <f t="shared" ref="J112:J160" si="5">VLOOKUP(H112,$A$51:$B$72,2,FALSE)</f>
        <v>4</v>
      </c>
      <c r="K112" s="94">
        <f t="shared" ref="K112:K160" si="6">_xlfn.RANK.EQ(B112,$B$111:$B$160,0)</f>
        <v>24</v>
      </c>
      <c r="L112" s="90"/>
      <c r="M112" s="90"/>
      <c r="N112" s="103" t="str">
        <v>SOUTH AFRICA (REPUBLIC OF)</v>
      </c>
      <c r="O112" s="98">
        <v>1.3392691475645702E-2</v>
      </c>
      <c r="P112" s="93" t="str">
        <v>2032-04-20</v>
      </c>
      <c r="Q112" s="93">
        <v>5.8799999999999998E-2</v>
      </c>
      <c r="R112" s="93">
        <v>5.8799999999999998E-2</v>
      </c>
      <c r="S112" s="93">
        <v>2.3099999999999999E-2</v>
      </c>
      <c r="T112" s="94">
        <v>5.31</v>
      </c>
      <c r="U112" s="93" t="str">
        <v>BB-</v>
      </c>
      <c r="V112" s="93">
        <v>6.4273972602739722</v>
      </c>
      <c r="W112" s="94">
        <v>13</v>
      </c>
      <c r="X112" s="103">
        <v>2</v>
      </c>
      <c r="Y112" s="90"/>
      <c r="Z112" s="101" t="str">
        <v>TREASURY NOTE</v>
      </c>
      <c r="AA112" s="93">
        <v>5.9082414896565183E-3</v>
      </c>
      <c r="AB112" s="93" t="str">
        <v>2035-05-15</v>
      </c>
      <c r="AC112" s="93">
        <v>4.2500000000000003E-2</v>
      </c>
      <c r="AD112" s="93">
        <v>4.07E-2</v>
      </c>
      <c r="AE112" s="93">
        <v>2.3E-3</v>
      </c>
      <c r="AF112" s="94">
        <v>7.8</v>
      </c>
      <c r="AG112" s="93" t="str">
        <v>AA+</v>
      </c>
      <c r="AH112" s="94">
        <v>9.4958904109589035</v>
      </c>
      <c r="AI112" s="82">
        <v>2</v>
      </c>
      <c r="AJ112" s="82">
        <v>14</v>
      </c>
    </row>
    <row r="113" spans="1:36" x14ac:dyDescent="0.45">
      <c r="A113" s="82" t="str">
        <v>BAHRAIN (KINGDOM OF) MTN RegS</v>
      </c>
      <c r="B113" s="93">
        <v>1.7644277164960975E-3</v>
      </c>
      <c r="C113" s="93" t="str">
        <f>'FIM IA 2'!I26</f>
        <v>2031-09-30</v>
      </c>
      <c r="D113" s="93">
        <f>'FIM IA 2'!J26/100</f>
        <v>5.6299999999999996E-2</v>
      </c>
      <c r="E113" s="93">
        <f>'FIM IA 2'!K26</f>
        <v>5.7500000000000002E-2</v>
      </c>
      <c r="F113" s="93">
        <f>'FIM IA 2'!M26</f>
        <v>2.2200000000000001E-2</v>
      </c>
      <c r="G113" s="94">
        <f>'FIM IA 2'!N26</f>
        <v>4.96</v>
      </c>
      <c r="H113" s="93" t="str">
        <f>'FIM IA 2'!L26</f>
        <v>B+</v>
      </c>
      <c r="I113" s="94">
        <f>(C113-Daten!$E$49)/365</f>
        <v>5.8712328767123285</v>
      </c>
      <c r="J113" s="82">
        <f t="shared" si="5"/>
        <v>14</v>
      </c>
      <c r="K113" s="94">
        <f t="shared" si="6"/>
        <v>44</v>
      </c>
      <c r="L113" s="90"/>
      <c r="M113" s="90"/>
      <c r="N113" s="103" t="str">
        <v>PAKISTAN (ISLAMIC REPUBLIC OF) RegS</v>
      </c>
      <c r="O113" s="98">
        <v>9.6671491138666799E-3</v>
      </c>
      <c r="P113" s="93" t="str">
        <v>2027-12-05</v>
      </c>
      <c r="Q113" s="93">
        <v>6.88E-2</v>
      </c>
      <c r="R113" s="93">
        <v>7.2599999999999998E-2</v>
      </c>
      <c r="S113" s="93">
        <v>3.7999999999999999E-2</v>
      </c>
      <c r="T113" s="94">
        <v>2.02</v>
      </c>
      <c r="U113" s="93" t="str">
        <v>B-</v>
      </c>
      <c r="V113" s="93">
        <v>2.0493150684931507</v>
      </c>
      <c r="W113" s="94">
        <v>16</v>
      </c>
      <c r="X113" s="103">
        <v>3</v>
      </c>
      <c r="Y113" s="90"/>
      <c r="Z113" s="101" t="str">
        <v>TREASURY NOTE</v>
      </c>
      <c r="AA113" s="93">
        <v>5.6360442522385146E-3</v>
      </c>
      <c r="AB113" s="93" t="str">
        <v>2034-08-15</v>
      </c>
      <c r="AC113" s="93">
        <v>3.8800000000000001E-2</v>
      </c>
      <c r="AD113" s="93">
        <v>0.04</v>
      </c>
      <c r="AE113" s="93">
        <v>2E-3</v>
      </c>
      <c r="AF113" s="94">
        <v>7.47</v>
      </c>
      <c r="AG113" s="93" t="str">
        <v>AA+</v>
      </c>
      <c r="AH113" s="94">
        <v>8.7479452054794518</v>
      </c>
      <c r="AI113" s="82">
        <v>2</v>
      </c>
      <c r="AJ113" s="82">
        <v>17</v>
      </c>
    </row>
    <row r="114" spans="1:36" x14ac:dyDescent="0.45">
      <c r="A114" s="82" t="str">
        <v>BAIDU INC</v>
      </c>
      <c r="B114" s="93">
        <v>5.4585558705959603E-3</v>
      </c>
      <c r="C114" s="93" t="str">
        <f>'FIM IA 2'!I27</f>
        <v>2030-04-07</v>
      </c>
      <c r="D114" s="93">
        <f>'FIM IA 2'!J27/100</f>
        <v>3.4200000000000001E-2</v>
      </c>
      <c r="E114" s="93">
        <f>'FIM IA 2'!K27</f>
        <v>4.1099999999999998E-2</v>
      </c>
      <c r="F114" s="93">
        <f>'FIM IA 2'!M27</f>
        <v>6.3E-3</v>
      </c>
      <c r="G114" s="94">
        <f>'FIM IA 2'!N27</f>
        <v>4.13</v>
      </c>
      <c r="H114" s="93" t="str">
        <f>'FIM IA 2'!L27</f>
        <v>A</v>
      </c>
      <c r="I114" s="94">
        <f>(C114-Daten!$E$49)/365</f>
        <v>4.3890410958904109</v>
      </c>
      <c r="J114" s="82">
        <f t="shared" si="5"/>
        <v>6</v>
      </c>
      <c r="K114" s="94">
        <f t="shared" si="6"/>
        <v>21</v>
      </c>
      <c r="L114" s="90"/>
      <c r="M114" s="90"/>
      <c r="N114" s="103" t="str">
        <v>LENOVO GROUP LTD RegS</v>
      </c>
      <c r="O114" s="98">
        <v>8.1647249934690969E-3</v>
      </c>
      <c r="P114" s="93" t="str">
        <v>2028-01-27</v>
      </c>
      <c r="Q114" s="93">
        <v>5.8299999999999998E-2</v>
      </c>
      <c r="R114" s="93">
        <v>4.2900000000000001E-2</v>
      </c>
      <c r="S114" s="93">
        <v>8.8999999999999999E-3</v>
      </c>
      <c r="T114" s="94">
        <v>2.21</v>
      </c>
      <c r="U114" s="93" t="str">
        <v>BBB</v>
      </c>
      <c r="V114" s="93">
        <v>2.1945205479452055</v>
      </c>
      <c r="W114" s="94">
        <v>9</v>
      </c>
      <c r="X114" s="103">
        <v>4</v>
      </c>
      <c r="Y114" s="90"/>
      <c r="Z114" s="101" t="str">
        <v>TREASURY NOTE</v>
      </c>
      <c r="AA114" s="93">
        <v>5.5815536570622548E-3</v>
      </c>
      <c r="AB114" s="93" t="str">
        <v>2033-08-15</v>
      </c>
      <c r="AC114" s="93">
        <v>3.8800000000000001E-2</v>
      </c>
      <c r="AD114" s="93">
        <v>3.9E-2</v>
      </c>
      <c r="AE114" s="93">
        <v>1.6999999999999999E-3</v>
      </c>
      <c r="AF114" s="94">
        <v>6.76</v>
      </c>
      <c r="AG114" s="93" t="str">
        <v>AA+</v>
      </c>
      <c r="AH114" s="94">
        <v>7.7479452054794518</v>
      </c>
      <c r="AI114" s="82">
        <v>2</v>
      </c>
      <c r="AJ114" s="82">
        <v>18</v>
      </c>
    </row>
    <row r="115" spans="1:36" x14ac:dyDescent="0.45">
      <c r="A115" s="82" t="str">
        <v>BANK OF AMERICA CORP MTN</v>
      </c>
      <c r="B115" s="93">
        <v>4.8407919244908282E-3</v>
      </c>
      <c r="C115" s="93" t="str">
        <f>'FIM IA 2'!I28</f>
        <v>2027-11-25</v>
      </c>
      <c r="D115" s="93">
        <f>'FIM IA 2'!J28/100</f>
        <v>4.1799999999999997E-2</v>
      </c>
      <c r="E115" s="93">
        <f>'FIM IA 2'!K28</f>
        <v>4.1200000000000001E-2</v>
      </c>
      <c r="F115" s="93">
        <f>'FIM IA 2'!M28</f>
        <v>6.8999999999999999E-3</v>
      </c>
      <c r="G115" s="94">
        <f>'FIM IA 2'!N28</f>
        <v>2.08</v>
      </c>
      <c r="H115" s="93" t="str">
        <f>'FIM IA 2'!L28</f>
        <v>A-</v>
      </c>
      <c r="I115" s="94">
        <f>(C115-Daten!$E$49)/365</f>
        <v>2.021917808219178</v>
      </c>
      <c r="J115" s="82">
        <f t="shared" si="5"/>
        <v>7</v>
      </c>
      <c r="K115" s="94">
        <f t="shared" si="6"/>
        <v>26</v>
      </c>
      <c r="L115" s="90"/>
      <c r="M115" s="90"/>
      <c r="N115" s="103" t="str">
        <v>OCCIDENTAL PETROLEUM CORPORATION</v>
      </c>
      <c r="O115" s="98">
        <v>7.6830373608915981E-3</v>
      </c>
      <c r="P115" s="93" t="str">
        <v>2030-09-01</v>
      </c>
      <c r="Q115" s="93">
        <v>6.6299999999999998E-2</v>
      </c>
      <c r="R115" s="93">
        <v>4.8799999999999899E-2</v>
      </c>
      <c r="S115" s="93">
        <v>1.54E-2</v>
      </c>
      <c r="T115" s="94">
        <v>4.25</v>
      </c>
      <c r="U115" s="93" t="str">
        <v>BB+</v>
      </c>
      <c r="V115" s="93">
        <v>4.7917808219178086</v>
      </c>
      <c r="W115" s="94">
        <v>11</v>
      </c>
      <c r="X115" s="103">
        <v>5</v>
      </c>
      <c r="Y115" s="90"/>
      <c r="Z115" s="101" t="str">
        <v>TREASURY NOTE</v>
      </c>
      <c r="AA115" s="93">
        <v>4.1164160776767655E-3</v>
      </c>
      <c r="AB115" s="93" t="str">
        <v>2031-08-15</v>
      </c>
      <c r="AC115" s="93">
        <v>1.2500000000000001E-2</v>
      </c>
      <c r="AD115" s="93">
        <v>3.7100000000000001E-2</v>
      </c>
      <c r="AE115" s="93">
        <v>1.1000000000000001E-3</v>
      </c>
      <c r="AF115" s="94">
        <v>5.62</v>
      </c>
      <c r="AG115" s="93" t="str">
        <v>AA+</v>
      </c>
      <c r="AH115" s="94">
        <v>5.7452054794520544</v>
      </c>
      <c r="AI115" s="82">
        <v>2</v>
      </c>
      <c r="AJ115" s="82">
        <v>32</v>
      </c>
    </row>
    <row r="116" spans="1:36" x14ac:dyDescent="0.45">
      <c r="A116" s="82" t="str">
        <v>BOEING CO</v>
      </c>
      <c r="B116" s="93">
        <v>3.1078073837751408E-3</v>
      </c>
      <c r="C116" s="93" t="str">
        <f>'FIM IA 2'!I29</f>
        <v>2040-05-01</v>
      </c>
      <c r="D116" s="93">
        <f>'FIM IA 2'!J29/100</f>
        <v>5.7099999999999998E-2</v>
      </c>
      <c r="E116" s="93">
        <f>'FIM IA 2'!K29</f>
        <v>5.5E-2</v>
      </c>
      <c r="F116" s="93">
        <f>'FIM IA 2'!M29</f>
        <v>1.4500000000000001E-2</v>
      </c>
      <c r="G116" s="94">
        <f>'FIM IA 2'!N29</f>
        <v>9.7200000000000006</v>
      </c>
      <c r="H116" s="93" t="str">
        <f>'FIM IA 2'!L29</f>
        <v>BBB-</v>
      </c>
      <c r="I116" s="94">
        <f>(C116-Daten!$E$49)/365</f>
        <v>14.463013698630137</v>
      </c>
      <c r="J116" s="82">
        <f t="shared" si="5"/>
        <v>10</v>
      </c>
      <c r="K116" s="94">
        <f t="shared" si="6"/>
        <v>40</v>
      </c>
      <c r="L116" s="90"/>
      <c r="M116" s="90"/>
      <c r="N116" s="103" t="str">
        <v>STANDARD CHARTERED PLC RegS</v>
      </c>
      <c r="O116" s="98">
        <v>7.5169095873315328E-3</v>
      </c>
      <c r="P116" s="93" t="str">
        <v>2030-02-08</v>
      </c>
      <c r="Q116" s="93">
        <v>7.0199999999999999E-2</v>
      </c>
      <c r="R116" s="93">
        <v>4.3799999999999999E-2</v>
      </c>
      <c r="S116" s="93">
        <v>1.26E-2</v>
      </c>
      <c r="T116" s="94">
        <v>3.03</v>
      </c>
      <c r="U116" s="93" t="str">
        <v>BBB+</v>
      </c>
      <c r="V116" s="93">
        <v>4.2301369863013702</v>
      </c>
      <c r="W116" s="94">
        <v>8</v>
      </c>
      <c r="X116" s="103">
        <v>6</v>
      </c>
      <c r="Y116" s="90"/>
      <c r="Z116" s="101" t="str">
        <v>TREASURY NOTE</v>
      </c>
      <c r="AA116" s="93">
        <v>5.0362868285867002E-3</v>
      </c>
      <c r="AB116" s="93" t="str">
        <v>2029-06-30</v>
      </c>
      <c r="AC116" s="93">
        <v>4.2500000000000003E-2</v>
      </c>
      <c r="AD116" s="93">
        <v>3.5400000000000001E-2</v>
      </c>
      <c r="AE116" s="93">
        <v>8.9999999999999998E-4</v>
      </c>
      <c r="AF116" s="94">
        <v>3.48</v>
      </c>
      <c r="AG116" s="93" t="str">
        <v>AA+</v>
      </c>
      <c r="AH116" s="94">
        <v>3.6191780821917807</v>
      </c>
      <c r="AI116" s="82">
        <v>2</v>
      </c>
      <c r="AJ116" s="82">
        <v>23</v>
      </c>
    </row>
    <row r="117" spans="1:36" x14ac:dyDescent="0.45">
      <c r="A117" s="82" t="str">
        <v>CITIGROUP INC</v>
      </c>
      <c r="B117" s="93">
        <v>3.8123478607758887E-3</v>
      </c>
      <c r="C117" s="93" t="str">
        <f>'FIM IA 2'!I30</f>
        <v>2028-07-25</v>
      </c>
      <c r="D117" s="93">
        <f>'FIM IA 2'!J30/100</f>
        <v>4.1299999999999996E-2</v>
      </c>
      <c r="E117" s="93">
        <f>'FIM IA 2'!K30</f>
        <v>4.0999999999999898E-2</v>
      </c>
      <c r="F117" s="93">
        <f>'FIM IA 2'!M30</f>
        <v>6.7000000000000002E-3</v>
      </c>
      <c r="G117" s="94">
        <f>'FIM IA 2'!N30</f>
        <v>2.69</v>
      </c>
      <c r="H117" s="93" t="str">
        <f>'FIM IA 2'!L30</f>
        <v>BBB+</v>
      </c>
      <c r="I117" s="94">
        <f>(C117-Daten!$E$49)/365</f>
        <v>2.6876712328767125</v>
      </c>
      <c r="J117" s="82">
        <f t="shared" si="5"/>
        <v>8</v>
      </c>
      <c r="K117" s="94">
        <f t="shared" si="6"/>
        <v>36</v>
      </c>
      <c r="L117" s="90"/>
      <c r="M117" s="90"/>
      <c r="N117" s="103" t="str">
        <v>PHILIPPINES (REPUBLIC OF)</v>
      </c>
      <c r="O117" s="98">
        <v>6.6751850970863114E-3</v>
      </c>
      <c r="P117" s="93" t="str">
        <v>2032-01-15</v>
      </c>
      <c r="Q117" s="93">
        <v>6.3799999999999996E-2</v>
      </c>
      <c r="R117" s="93">
        <v>4.4199999999999899E-2</v>
      </c>
      <c r="S117" s="93">
        <v>8.6E-3</v>
      </c>
      <c r="T117" s="94">
        <v>5.23</v>
      </c>
      <c r="U117" s="93" t="str">
        <v>BBB+</v>
      </c>
      <c r="V117" s="93">
        <v>6.1643835616438354</v>
      </c>
      <c r="W117" s="94">
        <v>8</v>
      </c>
      <c r="X117" s="103">
        <v>7</v>
      </c>
      <c r="Y117" s="90"/>
      <c r="Z117" s="101" t="str">
        <v>TREASURY NOTE</v>
      </c>
      <c r="AA117" s="93">
        <v>6.1615376952215417E-3</v>
      </c>
      <c r="AB117" s="93" t="str">
        <v>2028-10-31</v>
      </c>
      <c r="AC117" s="93">
        <v>4.8799999999999996E-2</v>
      </c>
      <c r="AD117" s="93">
        <v>3.5099999999999999E-2</v>
      </c>
      <c r="AE117" s="93">
        <v>8.9999999999999998E-4</v>
      </c>
      <c r="AF117" s="94">
        <v>2.87</v>
      </c>
      <c r="AG117" s="93" t="str">
        <v>AA+</v>
      </c>
      <c r="AH117" s="94">
        <v>2.956164383561644</v>
      </c>
      <c r="AI117" s="82">
        <v>2</v>
      </c>
      <c r="AJ117" s="82">
        <v>10</v>
      </c>
    </row>
    <row r="118" spans="1:36" x14ac:dyDescent="0.45">
      <c r="A118" s="82" t="str">
        <v>CVS HEALTH CORP</v>
      </c>
      <c r="B118" s="93">
        <v>5.7485177873395354E-3</v>
      </c>
      <c r="C118" s="93" t="str">
        <f>'FIM IA 2'!I31</f>
        <v>2029-06-01</v>
      </c>
      <c r="D118" s="93">
        <f>'FIM IA 2'!J31/100</f>
        <v>5.4000000000000006E-2</v>
      </c>
      <c r="E118" s="93">
        <f>'FIM IA 2'!K31</f>
        <v>4.2999999999999997E-2</v>
      </c>
      <c r="F118" s="93">
        <f>'FIM IA 2'!M31</f>
        <v>8.8000000000000005E-3</v>
      </c>
      <c r="G118" s="94">
        <f>'FIM IA 2'!N31</f>
        <v>3.33</v>
      </c>
      <c r="H118" s="93" t="str">
        <f>'FIM IA 2'!L31</f>
        <v>BBB</v>
      </c>
      <c r="I118" s="94">
        <f>(C118-Daten!$E$49)/365</f>
        <v>3.5397260273972604</v>
      </c>
      <c r="J118" s="82">
        <f t="shared" si="5"/>
        <v>9</v>
      </c>
      <c r="K118" s="94">
        <f t="shared" si="6"/>
        <v>15</v>
      </c>
      <c r="L118" s="90"/>
      <c r="M118" s="90"/>
      <c r="N118" s="103" t="str">
        <v>INDONESIA (REPUBLIC OF)</v>
      </c>
      <c r="O118" s="98">
        <v>6.3986592832978584E-3</v>
      </c>
      <c r="P118" s="93" t="str">
        <v>2028-01-11</v>
      </c>
      <c r="Q118" s="93">
        <v>4.5499999999999999E-2</v>
      </c>
      <c r="R118" s="93">
        <v>4.1500000000000002E-2</v>
      </c>
      <c r="S118" s="93">
        <v>7.1000000000000004E-3</v>
      </c>
      <c r="T118" s="94">
        <v>2.2000000000000002</v>
      </c>
      <c r="U118" s="93" t="str">
        <v>BBB</v>
      </c>
      <c r="V118" s="93">
        <v>2.1506849315068495</v>
      </c>
      <c r="W118" s="94">
        <v>9</v>
      </c>
      <c r="X118" s="103">
        <v>8</v>
      </c>
      <c r="Y118" s="90"/>
      <c r="Z118" s="101" t="str">
        <v>TREASURY NOTE</v>
      </c>
      <c r="AA118" s="93">
        <v>3.9038730355509532E-3</v>
      </c>
      <c r="AB118" s="93" t="str">
        <v>2028-08-15</v>
      </c>
      <c r="AC118" s="93">
        <v>2.8799999999999999E-2</v>
      </c>
      <c r="AD118" s="93">
        <v>3.5000000000000003E-2</v>
      </c>
      <c r="AE118" s="93">
        <v>6.9999999999999999E-4</v>
      </c>
      <c r="AF118" s="94">
        <v>2.79</v>
      </c>
      <c r="AG118" s="93" t="str">
        <v>AA+</v>
      </c>
      <c r="AH118" s="94">
        <v>2.7452054794520548</v>
      </c>
      <c r="AI118" s="82">
        <v>2</v>
      </c>
      <c r="AJ118" s="82">
        <v>35</v>
      </c>
    </row>
    <row r="119" spans="1:36" x14ac:dyDescent="0.45">
      <c r="A119" s="82" t="str">
        <v>DELTA AIR LINES INC</v>
      </c>
      <c r="B119" s="93">
        <v>4.1354866207587992E-3</v>
      </c>
      <c r="C119" s="93" t="str">
        <f>'FIM IA 2'!I32</f>
        <v>2028-04-19</v>
      </c>
      <c r="D119" s="93">
        <f>'FIM IA 2'!J32/100</f>
        <v>4.3799999999999999E-2</v>
      </c>
      <c r="E119" s="93">
        <f>'FIM IA 2'!K32</f>
        <v>4.2799999999999998E-2</v>
      </c>
      <c r="F119" s="93">
        <f>'FIM IA 2'!M32</f>
        <v>8.3999999999999995E-3</v>
      </c>
      <c r="G119" s="94">
        <f>'FIM IA 2'!N32</f>
        <v>2.41</v>
      </c>
      <c r="H119" s="93" t="str">
        <f>'FIM IA 2'!L32</f>
        <v>BBB-</v>
      </c>
      <c r="I119" s="94">
        <f>(C119-Daten!$E$49)/365</f>
        <v>2.4219178082191779</v>
      </c>
      <c r="J119" s="82">
        <f t="shared" si="5"/>
        <v>10</v>
      </c>
      <c r="K119" s="94">
        <f t="shared" si="6"/>
        <v>31</v>
      </c>
      <c r="L119" s="90"/>
      <c r="M119" s="90"/>
      <c r="N119" s="103" t="str">
        <v>GENERAL MOTORS CO</v>
      </c>
      <c r="O119" s="98">
        <v>6.3809420948925943E-3</v>
      </c>
      <c r="P119" s="93" t="str">
        <v>2029-10-15</v>
      </c>
      <c r="Q119" s="93">
        <v>5.4000000000000006E-2</v>
      </c>
      <c r="R119" s="93">
        <v>4.3899999999999897E-2</v>
      </c>
      <c r="S119" s="93">
        <v>9.7999999999999997E-3</v>
      </c>
      <c r="T119" s="94">
        <v>3.6</v>
      </c>
      <c r="U119" s="93" t="str">
        <v>BBB</v>
      </c>
      <c r="V119" s="93">
        <v>3.9123287671232876</v>
      </c>
      <c r="W119" s="94">
        <v>9</v>
      </c>
      <c r="X119" s="103">
        <v>9</v>
      </c>
      <c r="Y119" s="90"/>
      <c r="Z119" s="101" t="str">
        <v>KOREA DEVELOPMENT BANK</v>
      </c>
      <c r="AA119" s="93">
        <v>6.0315194815412365E-3</v>
      </c>
      <c r="AB119" s="93" t="str">
        <v>2028-02-03</v>
      </c>
      <c r="AC119" s="93">
        <v>4.6300000000000001E-2</v>
      </c>
      <c r="AD119" s="93">
        <v>3.8599999999999898E-2</v>
      </c>
      <c r="AE119" s="93">
        <v>4.1000000000000003E-3</v>
      </c>
      <c r="AF119" s="94">
        <v>2.2599999999999998</v>
      </c>
      <c r="AG119" s="93" t="str">
        <v>AA</v>
      </c>
      <c r="AH119" s="94">
        <v>2.2136986301369861</v>
      </c>
      <c r="AI119" s="82">
        <v>3</v>
      </c>
      <c r="AJ119" s="82">
        <v>13</v>
      </c>
    </row>
    <row r="120" spans="1:36" x14ac:dyDescent="0.45">
      <c r="A120" s="82" t="str">
        <v>EGYPT (ARAB REPUBLIC OF) MTN RegS</v>
      </c>
      <c r="B120" s="93">
        <v>2.3765030462250092E-2</v>
      </c>
      <c r="C120" s="93" t="str">
        <f>'FIM IA 2'!I33</f>
        <v>2032-01-15</v>
      </c>
      <c r="D120" s="93">
        <f>'FIM IA 2'!J33/100</f>
        <v>7.0499999999999993E-2</v>
      </c>
      <c r="E120" s="93">
        <f>'FIM IA 2'!K33</f>
        <v>8.2500000000000004E-2</v>
      </c>
      <c r="F120" s="93">
        <f>'FIM IA 2'!M33</f>
        <v>4.7199999999999999E-2</v>
      </c>
      <c r="G120" s="94">
        <f>'FIM IA 2'!N33</f>
        <v>4.9400000000000004</v>
      </c>
      <c r="H120" s="93" t="str">
        <f>'FIM IA 2'!L33</f>
        <v>B-</v>
      </c>
      <c r="I120" s="94">
        <f>(C120-Daten!$E$49)/365</f>
        <v>6.1643835616438354</v>
      </c>
      <c r="J120" s="82">
        <f t="shared" si="5"/>
        <v>16</v>
      </c>
      <c r="K120" s="94">
        <f t="shared" si="6"/>
        <v>1</v>
      </c>
      <c r="L120" s="90"/>
      <c r="M120" s="90"/>
      <c r="N120" s="103" t="str">
        <v>TREASURY NOTE</v>
      </c>
      <c r="O120" s="98">
        <v>6.1615376952215417E-3</v>
      </c>
      <c r="P120" s="93" t="str">
        <v>2028-10-31</v>
      </c>
      <c r="Q120" s="93">
        <v>4.8799999999999996E-2</v>
      </c>
      <c r="R120" s="93">
        <v>3.5099999999999999E-2</v>
      </c>
      <c r="S120" s="93">
        <v>8.9999999999999998E-4</v>
      </c>
      <c r="T120" s="94">
        <v>2.87</v>
      </c>
      <c r="U120" s="93" t="str">
        <v>AA+</v>
      </c>
      <c r="V120" s="93">
        <v>2.956164383561644</v>
      </c>
      <c r="W120" s="94">
        <v>2</v>
      </c>
      <c r="X120" s="103">
        <v>10</v>
      </c>
      <c r="Y120" s="90"/>
      <c r="Z120" s="101" t="str">
        <v>AUSTRALIA AND NEW ZEALAND BANKING MTN</v>
      </c>
      <c r="AA120" s="93">
        <v>4.9897429602703269E-3</v>
      </c>
      <c r="AB120" s="93" t="str">
        <v>2028-06-18</v>
      </c>
      <c r="AC120" s="93">
        <v>4.36E-2</v>
      </c>
      <c r="AD120" s="93">
        <v>3.85E-2</v>
      </c>
      <c r="AE120" s="93">
        <v>4.1000000000000003E-3</v>
      </c>
      <c r="AF120" s="94">
        <v>2.58</v>
      </c>
      <c r="AG120" s="93" t="str">
        <v>AA-</v>
      </c>
      <c r="AH120" s="94">
        <v>2.5863013698630137</v>
      </c>
      <c r="AI120" s="82">
        <v>4</v>
      </c>
      <c r="AJ120" s="82">
        <v>24</v>
      </c>
    </row>
    <row r="121" spans="1:36" x14ac:dyDescent="0.45">
      <c r="A121" s="82" t="str">
        <v>FIRST ABU DHABI BANK PJSC MTN RegS</v>
      </c>
      <c r="B121" s="93">
        <v>5.7271822197664246E-3</v>
      </c>
      <c r="C121" s="93" t="str">
        <f>'FIM IA 2'!I34</f>
        <v>2027-10-13</v>
      </c>
      <c r="D121" s="93">
        <f>'FIM IA 2'!J34/100</f>
        <v>5.1299999999999998E-2</v>
      </c>
      <c r="E121" s="93">
        <f>'FIM IA 2'!K34</f>
        <v>4.1500000000000002E-2</v>
      </c>
      <c r="F121" s="93">
        <f>'FIM IA 2'!M34</f>
        <v>6.8999999999999999E-3</v>
      </c>
      <c r="G121" s="94">
        <f>'FIM IA 2'!N34</f>
        <v>1.94</v>
      </c>
      <c r="H121" s="93" t="str">
        <f>'FIM IA 2'!L34</f>
        <v>AA-</v>
      </c>
      <c r="I121" s="94">
        <f>(C121-Daten!$E$49)/365</f>
        <v>1.904109589041096</v>
      </c>
      <c r="J121" s="82">
        <f t="shared" si="5"/>
        <v>4</v>
      </c>
      <c r="K121" s="94">
        <f t="shared" si="6"/>
        <v>16</v>
      </c>
      <c r="L121" s="90"/>
      <c r="M121" s="90"/>
      <c r="N121" s="104" t="str">
        <v>PETROLEOS MEXICANOS</v>
      </c>
      <c r="O121" s="98">
        <v>6.1334884049633054E-3</v>
      </c>
      <c r="P121" s="93" t="str">
        <v>2060-01-28</v>
      </c>
      <c r="Q121" s="93">
        <v>6.9500000000000006E-2</v>
      </c>
      <c r="R121" s="93">
        <v>8.6199999999999999E-2</v>
      </c>
      <c r="S121" s="93">
        <v>4.4400000000000002E-2</v>
      </c>
      <c r="T121" s="94">
        <v>11.15</v>
      </c>
      <c r="U121" s="93" t="str">
        <v>BBB</v>
      </c>
      <c r="V121" s="93">
        <v>34.219178082191782</v>
      </c>
      <c r="W121" s="94">
        <v>9</v>
      </c>
      <c r="X121" s="104">
        <v>11</v>
      </c>
      <c r="Y121" s="90"/>
      <c r="Z121" s="101" t="str">
        <v>FIRST ABU DHABI BANK PJSC MTN RegS</v>
      </c>
      <c r="AA121" s="93">
        <v>5.7271822197664246E-3</v>
      </c>
      <c r="AB121" s="93" t="str">
        <v>2027-10-13</v>
      </c>
      <c r="AC121" s="93">
        <v>5.1299999999999998E-2</v>
      </c>
      <c r="AD121" s="93">
        <v>4.1500000000000002E-2</v>
      </c>
      <c r="AE121" s="93">
        <v>6.8999999999999999E-3</v>
      </c>
      <c r="AF121" s="94">
        <v>1.94</v>
      </c>
      <c r="AG121" s="93" t="str">
        <v>AA-</v>
      </c>
      <c r="AH121" s="94">
        <v>1.904109589041096</v>
      </c>
      <c r="AI121" s="82">
        <v>4</v>
      </c>
      <c r="AJ121" s="82">
        <v>16</v>
      </c>
    </row>
    <row r="122" spans="1:36" x14ac:dyDescent="0.45">
      <c r="A122" s="82" t="str">
        <v>FORD MOTOR COMPANY</v>
      </c>
      <c r="B122" s="93">
        <v>9.5657400052018282E-4</v>
      </c>
      <c r="C122" s="93" t="str">
        <f>'FIM IA 2'!I35</f>
        <v>2032-02-12</v>
      </c>
      <c r="D122" s="93">
        <f>'FIM IA 2'!J35/100</f>
        <v>3.2500000000000001E-2</v>
      </c>
      <c r="E122" s="93">
        <f>'FIM IA 2'!K35</f>
        <v>5.7500000000000002E-2</v>
      </c>
      <c r="F122" s="93">
        <f>'FIM IA 2'!M35</f>
        <v>2.1499999999999998E-2</v>
      </c>
      <c r="G122" s="94">
        <f>'FIM IA 2'!N35</f>
        <v>5.63</v>
      </c>
      <c r="H122" s="93" t="str">
        <f>'FIM IA 2'!L35</f>
        <v>BBB-</v>
      </c>
      <c r="I122" s="94">
        <f>(C122-Daten!$E$49)/365</f>
        <v>6.2410958904109588</v>
      </c>
      <c r="J122" s="82">
        <f t="shared" si="5"/>
        <v>10</v>
      </c>
      <c r="K122" s="94">
        <f t="shared" si="6"/>
        <v>47</v>
      </c>
      <c r="L122" s="90"/>
      <c r="M122" s="90"/>
      <c r="N122" s="104" t="str">
        <v>OIL INDIA LTD RegS</v>
      </c>
      <c r="O122" s="98">
        <v>6.1094254612219512E-3</v>
      </c>
      <c r="P122" s="93" t="str">
        <v>2029-02-04</v>
      </c>
      <c r="Q122" s="93">
        <v>5.1299999999999998E-2</v>
      </c>
      <c r="R122" s="93">
        <v>4.3799999999999999E-2</v>
      </c>
      <c r="S122" s="93">
        <v>9.5999999999999992E-3</v>
      </c>
      <c r="T122" s="94">
        <v>3.1</v>
      </c>
      <c r="U122" s="93" t="str">
        <v>BBB-</v>
      </c>
      <c r="V122" s="93">
        <v>3.2191780821917808</v>
      </c>
      <c r="W122" s="94">
        <v>10</v>
      </c>
      <c r="X122" s="104">
        <v>12</v>
      </c>
      <c r="Y122" s="90"/>
      <c r="Z122" s="101" t="str">
        <v>META PLATFORMS INC</v>
      </c>
      <c r="AA122" s="93">
        <v>-1.1534000762003505E-4</v>
      </c>
      <c r="AB122" s="93" t="str">
        <v>2032-08-15</v>
      </c>
      <c r="AC122" s="93">
        <v>3.85E-2</v>
      </c>
      <c r="AD122" s="93">
        <v>4.2299999999999997E-2</v>
      </c>
      <c r="AE122" s="93">
        <v>5.8999999999999999E-3</v>
      </c>
      <c r="AF122" s="94">
        <v>6.01</v>
      </c>
      <c r="AG122" s="93" t="str">
        <v>AA-</v>
      </c>
      <c r="AH122" s="94">
        <v>6.7479452054794518</v>
      </c>
      <c r="AI122" s="82">
        <v>4</v>
      </c>
      <c r="AJ122" s="82">
        <v>48</v>
      </c>
    </row>
    <row r="123" spans="1:36" x14ac:dyDescent="0.45">
      <c r="A123" s="82" t="str">
        <v>GENERAL ELECTRIC CO MTN</v>
      </c>
      <c r="B123" s="93">
        <v>5.551790133628387E-3</v>
      </c>
      <c r="C123" s="93" t="str">
        <f>'FIM IA 2'!I36</f>
        <v>2032-03-15</v>
      </c>
      <c r="D123" s="93">
        <f>'FIM IA 2'!J36/100</f>
        <v>6.7500000000000004E-2</v>
      </c>
      <c r="E123" s="93">
        <f>'FIM IA 2'!K36</f>
        <v>4.2599999999999999E-2</v>
      </c>
      <c r="F123" s="93">
        <f>'FIM IA 2'!M36</f>
        <v>7.0000000000000001E-3</v>
      </c>
      <c r="G123" s="94">
        <f>'FIM IA 2'!N36</f>
        <v>5.21</v>
      </c>
      <c r="H123" s="93" t="str">
        <f>'FIM IA 2'!L36</f>
        <v>A-</v>
      </c>
      <c r="I123" s="94">
        <f>(C123-Daten!$E$49)/365</f>
        <v>6.3287671232876717</v>
      </c>
      <c r="J123" s="82">
        <f t="shared" si="5"/>
        <v>7</v>
      </c>
      <c r="K123" s="94">
        <f t="shared" si="6"/>
        <v>20</v>
      </c>
      <c r="L123" s="90"/>
      <c r="M123" s="90"/>
      <c r="N123" s="104" t="str">
        <v>KOREA DEVELOPMENT BANK</v>
      </c>
      <c r="O123" s="98">
        <v>6.0315194815412365E-3</v>
      </c>
      <c r="P123" s="93" t="str">
        <v>2028-02-03</v>
      </c>
      <c r="Q123" s="93">
        <v>4.6300000000000001E-2</v>
      </c>
      <c r="R123" s="93">
        <v>3.8599999999999898E-2</v>
      </c>
      <c r="S123" s="93">
        <v>4.1000000000000003E-3</v>
      </c>
      <c r="T123" s="94">
        <v>2.2599999999999998</v>
      </c>
      <c r="U123" s="93" t="str">
        <v>AA</v>
      </c>
      <c r="V123" s="93">
        <v>2.2136986301369861</v>
      </c>
      <c r="W123" s="94">
        <v>3</v>
      </c>
      <c r="X123" s="104">
        <v>13</v>
      </c>
      <c r="Y123" s="90"/>
      <c r="Z123" s="101" t="str">
        <v>ROYAL BANK OF CANADA MTN</v>
      </c>
      <c r="AA123" s="93">
        <v>3.3523638041605963E-3</v>
      </c>
      <c r="AB123" s="93" t="str">
        <v>2033-05-02</v>
      </c>
      <c r="AC123" s="93">
        <v>0.05</v>
      </c>
      <c r="AD123" s="93">
        <v>4.48E-2</v>
      </c>
      <c r="AE123" s="93">
        <v>8.0999999999999996E-3</v>
      </c>
      <c r="AF123" s="94">
        <v>6.24</v>
      </c>
      <c r="AG123" s="93" t="str">
        <v>AA-</v>
      </c>
      <c r="AH123" s="94">
        <v>7.4602739726027396</v>
      </c>
      <c r="AI123" s="82">
        <v>4</v>
      </c>
      <c r="AJ123" s="82">
        <v>37</v>
      </c>
    </row>
    <row r="124" spans="1:36" x14ac:dyDescent="0.45">
      <c r="A124" s="82" t="str">
        <v>GENERAL MOTORS CO</v>
      </c>
      <c r="B124" s="93">
        <v>6.3809420948925943E-3</v>
      </c>
      <c r="C124" s="93" t="str">
        <f>'FIM IA 2'!I37</f>
        <v>2029-10-15</v>
      </c>
      <c r="D124" s="93">
        <f>'FIM IA 2'!J37/100</f>
        <v>5.4000000000000006E-2</v>
      </c>
      <c r="E124" s="93">
        <f>'FIM IA 2'!K37</f>
        <v>4.3899999999999897E-2</v>
      </c>
      <c r="F124" s="93">
        <f>'FIM IA 2'!M37</f>
        <v>9.7999999999999997E-3</v>
      </c>
      <c r="G124" s="94">
        <f>'FIM IA 2'!N37</f>
        <v>3.6</v>
      </c>
      <c r="H124" s="93" t="str">
        <f>'FIM IA 2'!L37</f>
        <v>BBB</v>
      </c>
      <c r="I124" s="94">
        <f>(C124-Daten!$E$49)/365</f>
        <v>3.9123287671232876</v>
      </c>
      <c r="J124" s="82">
        <f t="shared" si="5"/>
        <v>9</v>
      </c>
      <c r="K124" s="94">
        <f t="shared" si="6"/>
        <v>9</v>
      </c>
      <c r="L124" s="90"/>
      <c r="M124" s="90"/>
      <c r="N124" s="104" t="str">
        <v>TREASURY NOTE</v>
      </c>
      <c r="O124" s="98">
        <v>5.9082414896565183E-3</v>
      </c>
      <c r="P124" s="93" t="str">
        <v>2035-05-15</v>
      </c>
      <c r="Q124" s="93">
        <v>4.2500000000000003E-2</v>
      </c>
      <c r="R124" s="93">
        <v>4.07E-2</v>
      </c>
      <c r="S124" s="93">
        <v>2.3E-3</v>
      </c>
      <c r="T124" s="94">
        <v>7.8</v>
      </c>
      <c r="U124" s="93" t="str">
        <v>AA+</v>
      </c>
      <c r="V124" s="93">
        <v>9.4958904109589035</v>
      </c>
      <c r="W124" s="94">
        <v>2</v>
      </c>
      <c r="X124" s="104">
        <v>14</v>
      </c>
      <c r="Y124" s="90"/>
      <c r="Z124" s="101" t="str">
        <v>WESTPAC BANKING CORP</v>
      </c>
      <c r="AA124" s="93">
        <v>4.4004886860804504E-3</v>
      </c>
      <c r="AB124" s="93" t="str">
        <v>2027-08-26</v>
      </c>
      <c r="AC124" s="93">
        <v>4.0399999999999998E-2</v>
      </c>
      <c r="AD124" s="93">
        <v>3.7599999999999897E-2</v>
      </c>
      <c r="AE124" s="93">
        <v>3.0000000000000001E-3</v>
      </c>
      <c r="AF124" s="94">
        <v>1.88</v>
      </c>
      <c r="AG124" s="93" t="str">
        <v>AA-</v>
      </c>
      <c r="AH124" s="94">
        <v>1.7726027397260273</v>
      </c>
      <c r="AI124" s="82">
        <v>4</v>
      </c>
      <c r="AJ124" s="82">
        <v>28</v>
      </c>
    </row>
    <row r="125" spans="1:36" x14ac:dyDescent="0.45">
      <c r="A125" s="82" t="str">
        <v>HEWLETT PACKARD ENTERPRISE CO</v>
      </c>
      <c r="B125" s="93">
        <v>4.3162475378877296E-3</v>
      </c>
      <c r="C125" s="93" t="str">
        <f>'FIM IA 2'!I38</f>
        <v>2029-10-15</v>
      </c>
      <c r="D125" s="93">
        <f>'FIM IA 2'!J38/100</f>
        <v>4.5499999999999999E-2</v>
      </c>
      <c r="E125" s="93">
        <f>'FIM IA 2'!K38</f>
        <v>4.2900000000000001E-2</v>
      </c>
      <c r="F125" s="93">
        <f>'FIM IA 2'!M38</f>
        <v>8.3000000000000001E-3</v>
      </c>
      <c r="G125" s="94">
        <f>'FIM IA 2'!N38</f>
        <v>3.65</v>
      </c>
      <c r="H125" s="93" t="str">
        <f>'FIM IA 2'!L38</f>
        <v>BBB</v>
      </c>
      <c r="I125" s="94">
        <f>(C125-Daten!$E$49)/365</f>
        <v>3.9123287671232876</v>
      </c>
      <c r="J125" s="82">
        <f t="shared" si="5"/>
        <v>9</v>
      </c>
      <c r="K125" s="94">
        <f t="shared" si="6"/>
        <v>29</v>
      </c>
      <c r="L125" s="90"/>
      <c r="M125" s="90"/>
      <c r="N125" s="104" t="str">
        <v>CVS HEALTH CORP</v>
      </c>
      <c r="O125" s="98">
        <v>5.7485177873395354E-3</v>
      </c>
      <c r="P125" s="93" t="str">
        <v>2029-06-01</v>
      </c>
      <c r="Q125" s="93">
        <v>5.4000000000000006E-2</v>
      </c>
      <c r="R125" s="93">
        <v>4.2999999999999997E-2</v>
      </c>
      <c r="S125" s="93">
        <v>8.8000000000000005E-3</v>
      </c>
      <c r="T125" s="94">
        <v>3.33</v>
      </c>
      <c r="U125" s="93" t="str">
        <v>BBB</v>
      </c>
      <c r="V125" s="93">
        <v>3.5397260273972604</v>
      </c>
      <c r="W125" s="94">
        <v>9</v>
      </c>
      <c r="X125" s="104">
        <v>15</v>
      </c>
      <c r="Y125" s="90"/>
      <c r="Z125" s="101" t="str">
        <v>SAUDI ARABIAN OIL CO MTN RegS</v>
      </c>
      <c r="AA125" s="93">
        <v>1.5653821406467205E-3</v>
      </c>
      <c r="AB125" s="93" t="str">
        <v>2030-11-24</v>
      </c>
      <c r="AC125" s="93">
        <v>2.2499999999999999E-2</v>
      </c>
      <c r="AD125" s="93">
        <v>4.3400000000000001E-2</v>
      </c>
      <c r="AE125" s="93">
        <v>8.2000000000000007E-3</v>
      </c>
      <c r="AF125" s="94">
        <v>4.8</v>
      </c>
      <c r="AG125" s="93" t="str">
        <v>A+</v>
      </c>
      <c r="AH125" s="94">
        <v>5.021917808219178</v>
      </c>
      <c r="AI125" s="82">
        <v>5</v>
      </c>
      <c r="AJ125" s="82">
        <v>46</v>
      </c>
    </row>
    <row r="126" spans="1:36" x14ac:dyDescent="0.45">
      <c r="A126" s="82" t="str">
        <v>HONDA MOTOR CO LTD</v>
      </c>
      <c r="B126" s="93">
        <v>5.5545472919695804E-3</v>
      </c>
      <c r="C126" s="93" t="str">
        <f>'FIM IA 2'!I39</f>
        <v>2035-07-08</v>
      </c>
      <c r="D126" s="93">
        <f>'FIM IA 2'!J39/100</f>
        <v>5.3399999999999996E-2</v>
      </c>
      <c r="E126" s="93">
        <f>'FIM IA 2'!K39</f>
        <v>5.0900000000000001E-2</v>
      </c>
      <c r="F126" s="93">
        <f>'FIM IA 2'!M39</f>
        <v>1.2800000000000001E-2</v>
      </c>
      <c r="G126" s="94">
        <f>'FIM IA 2'!N39</f>
        <v>7.54</v>
      </c>
      <c r="H126" s="93" t="str">
        <f>'FIM IA 2'!L39</f>
        <v>A-</v>
      </c>
      <c r="I126" s="94">
        <f>(C126-Daten!$E$49)/365</f>
        <v>9.6438356164383556</v>
      </c>
      <c r="J126" s="82">
        <f t="shared" si="5"/>
        <v>7</v>
      </c>
      <c r="K126" s="94">
        <f t="shared" si="6"/>
        <v>19</v>
      </c>
      <c r="L126" s="90"/>
      <c r="M126" s="90"/>
      <c r="N126" s="104" t="str">
        <v>FIRST ABU DHABI BANK PJSC MTN RegS</v>
      </c>
      <c r="O126" s="98">
        <v>5.7271822197664246E-3</v>
      </c>
      <c r="P126" s="93" t="str">
        <v>2027-10-13</v>
      </c>
      <c r="Q126" s="93">
        <v>5.1299999999999998E-2</v>
      </c>
      <c r="R126" s="93">
        <v>4.1500000000000002E-2</v>
      </c>
      <c r="S126" s="93">
        <v>6.8999999999999999E-3</v>
      </c>
      <c r="T126" s="94">
        <v>1.94</v>
      </c>
      <c r="U126" s="93" t="str">
        <v>AA-</v>
      </c>
      <c r="V126" s="93">
        <v>1.904109589041096</v>
      </c>
      <c r="W126" s="94">
        <v>4</v>
      </c>
      <c r="X126" s="104">
        <v>16</v>
      </c>
      <c r="Y126" s="90"/>
      <c r="Z126" s="101" t="str">
        <v>TENCENT HOLDINGS LTD MTN RegS</v>
      </c>
      <c r="AA126" s="93">
        <v>4.9230322231303969E-3</v>
      </c>
      <c r="AB126" s="93" t="str">
        <v>2028-01-19</v>
      </c>
      <c r="AC126" s="93">
        <v>3.6000000000000004E-2</v>
      </c>
      <c r="AD126" s="93">
        <v>4.0099999999999997E-2</v>
      </c>
      <c r="AE126" s="93">
        <v>5.5999999999999999E-3</v>
      </c>
      <c r="AF126" s="94">
        <v>2.2400000000000002</v>
      </c>
      <c r="AG126" s="93" t="str">
        <v>A+</v>
      </c>
      <c r="AH126" s="94">
        <v>2.1726027397260275</v>
      </c>
      <c r="AI126" s="82">
        <v>5</v>
      </c>
      <c r="AJ126" s="82">
        <v>25</v>
      </c>
    </row>
    <row r="127" spans="1:36" x14ac:dyDescent="0.45">
      <c r="A127" s="82" t="str">
        <v>HSBC HOLDINGS PLC</v>
      </c>
      <c r="B127" s="93">
        <v>4.2697150978796561E-3</v>
      </c>
      <c r="C127" s="93" t="str">
        <f>'FIM IA 2'!I40</f>
        <v>2036-05-13</v>
      </c>
      <c r="D127" s="93">
        <f>'FIM IA 2'!J40/100</f>
        <v>5.79E-2</v>
      </c>
      <c r="E127" s="93">
        <f>'FIM IA 2'!K40</f>
        <v>5.0799999999999998E-2</v>
      </c>
      <c r="F127" s="93">
        <f>'FIM IA 2'!M40</f>
        <v>1.38E-2</v>
      </c>
      <c r="G127" s="94">
        <f>'FIM IA 2'!N40</f>
        <v>7.3</v>
      </c>
      <c r="H127" s="93" t="str">
        <f>'FIM IA 2'!L40</f>
        <v>A-</v>
      </c>
      <c r="I127" s="94">
        <f>(C127-Daten!$E$49)/365</f>
        <v>10.493150684931507</v>
      </c>
      <c r="J127" s="82">
        <f t="shared" si="5"/>
        <v>7</v>
      </c>
      <c r="K127" s="94">
        <f t="shared" si="6"/>
        <v>30</v>
      </c>
      <c r="L127" s="90"/>
      <c r="M127" s="90"/>
      <c r="N127" s="104" t="str">
        <v>TREASURY NOTE</v>
      </c>
      <c r="O127" s="98">
        <v>5.6360442522385146E-3</v>
      </c>
      <c r="P127" s="93" t="str">
        <v>2034-08-15</v>
      </c>
      <c r="Q127" s="93">
        <v>3.8800000000000001E-2</v>
      </c>
      <c r="R127" s="93">
        <v>0.04</v>
      </c>
      <c r="S127" s="93">
        <v>2E-3</v>
      </c>
      <c r="T127" s="94">
        <v>7.47</v>
      </c>
      <c r="U127" s="93" t="str">
        <v>AA+</v>
      </c>
      <c r="V127" s="93">
        <v>8.7479452054794518</v>
      </c>
      <c r="W127" s="94">
        <v>2</v>
      </c>
      <c r="X127" s="104">
        <v>17</v>
      </c>
      <c r="Y127" s="90"/>
      <c r="Z127" s="101" t="str">
        <v>BAIDU INC</v>
      </c>
      <c r="AA127" s="93">
        <v>5.4585558705959603E-3</v>
      </c>
      <c r="AB127" s="93" t="str">
        <v>2030-04-07</v>
      </c>
      <c r="AC127" s="93">
        <v>3.4200000000000001E-2</v>
      </c>
      <c r="AD127" s="93">
        <v>4.1099999999999998E-2</v>
      </c>
      <c r="AE127" s="93">
        <v>6.3E-3</v>
      </c>
      <c r="AF127" s="94">
        <v>4.13</v>
      </c>
      <c r="AG127" s="93" t="str">
        <v>A</v>
      </c>
      <c r="AH127" s="94">
        <v>4.3890410958904109</v>
      </c>
      <c r="AI127" s="82">
        <v>6</v>
      </c>
      <c r="AJ127" s="82">
        <v>21</v>
      </c>
    </row>
    <row r="128" spans="1:36" x14ac:dyDescent="0.45">
      <c r="A128" s="82" t="str">
        <v>INDONESIA (REPUBLIC OF)</v>
      </c>
      <c r="B128" s="93">
        <v>6.3986592832978584E-3</v>
      </c>
      <c r="C128" s="93" t="str">
        <f>'FIM IA 2'!I41</f>
        <v>2028-01-11</v>
      </c>
      <c r="D128" s="93">
        <f>'FIM IA 2'!J41/100</f>
        <v>4.5499999999999999E-2</v>
      </c>
      <c r="E128" s="93">
        <f>'FIM IA 2'!K41</f>
        <v>4.1500000000000002E-2</v>
      </c>
      <c r="F128" s="93">
        <f>'FIM IA 2'!M41</f>
        <v>7.1000000000000004E-3</v>
      </c>
      <c r="G128" s="94">
        <f>'FIM IA 2'!N41</f>
        <v>2.2000000000000002</v>
      </c>
      <c r="H128" s="93" t="str">
        <f>'FIM IA 2'!L41</f>
        <v>BBB</v>
      </c>
      <c r="I128" s="94">
        <f>(C128-Daten!$E$49)/365</f>
        <v>2.1506849315068495</v>
      </c>
      <c r="J128" s="82">
        <f t="shared" si="5"/>
        <v>9</v>
      </c>
      <c r="K128" s="94">
        <f t="shared" si="6"/>
        <v>8</v>
      </c>
      <c r="L128" s="90"/>
      <c r="M128" s="90"/>
      <c r="N128" s="104" t="str">
        <v>TREASURY NOTE</v>
      </c>
      <c r="O128" s="98">
        <v>5.5815536570622548E-3</v>
      </c>
      <c r="P128" s="93" t="str">
        <v>2033-08-15</v>
      </c>
      <c r="Q128" s="93">
        <v>3.8800000000000001E-2</v>
      </c>
      <c r="R128" s="93">
        <v>3.9E-2</v>
      </c>
      <c r="S128" s="93">
        <v>1.6999999999999999E-3</v>
      </c>
      <c r="T128" s="94">
        <v>6.76</v>
      </c>
      <c r="U128" s="93" t="str">
        <v>AA+</v>
      </c>
      <c r="V128" s="93">
        <v>7.7479452054794518</v>
      </c>
      <c r="W128" s="94">
        <v>2</v>
      </c>
      <c r="X128" s="104">
        <v>18</v>
      </c>
      <c r="Y128" s="90"/>
      <c r="Z128" s="101" t="str">
        <v>METLIFE INC</v>
      </c>
      <c r="AA128" s="93">
        <v>2.6517724473646975E-3</v>
      </c>
      <c r="AB128" s="93" t="str">
        <v>2035-06-15</v>
      </c>
      <c r="AC128" s="93">
        <v>5.7000000000000002E-2</v>
      </c>
      <c r="AD128" s="93">
        <v>4.7599999999999899E-2</v>
      </c>
      <c r="AE128" s="93">
        <v>9.5999999999999992E-3</v>
      </c>
      <c r="AF128" s="94">
        <v>7.45</v>
      </c>
      <c r="AG128" s="93" t="str">
        <v>A</v>
      </c>
      <c r="AH128" s="94">
        <v>9.580821917808219</v>
      </c>
      <c r="AI128" s="82">
        <v>6</v>
      </c>
      <c r="AJ128" s="82">
        <v>42</v>
      </c>
    </row>
    <row r="129" spans="1:36" x14ac:dyDescent="0.45">
      <c r="A129" s="82" t="str">
        <v>ING GROEP NV</v>
      </c>
      <c r="B129" s="93">
        <v>4.5570069107689903E-3</v>
      </c>
      <c r="C129" s="93" t="str">
        <f>'FIM IA 2'!I42</f>
        <v>2036-03-25</v>
      </c>
      <c r="D129" s="93">
        <f>'FIM IA 2'!J42/100</f>
        <v>5.5300000000000002E-2</v>
      </c>
      <c r="E129" s="93">
        <f>'FIM IA 2'!K42</f>
        <v>5.04E-2</v>
      </c>
      <c r="F129" s="93">
        <f>'FIM IA 2'!M42</f>
        <v>1.3299999999999999E-2</v>
      </c>
      <c r="G129" s="94">
        <f>'FIM IA 2'!N42</f>
        <v>7.24</v>
      </c>
      <c r="H129" s="93" t="str">
        <f>'FIM IA 2'!L42</f>
        <v>A-</v>
      </c>
      <c r="I129" s="94">
        <f>(C129-Daten!$E$49)/365</f>
        <v>10.358904109589041</v>
      </c>
      <c r="J129" s="82">
        <f t="shared" si="5"/>
        <v>7</v>
      </c>
      <c r="K129" s="94">
        <f t="shared" si="6"/>
        <v>27</v>
      </c>
      <c r="L129" s="90"/>
      <c r="M129" s="90"/>
      <c r="N129" s="104" t="str">
        <v>HONDA MOTOR CO LTD</v>
      </c>
      <c r="O129" s="98">
        <v>5.5545472919695804E-3</v>
      </c>
      <c r="P129" s="93" t="str">
        <v>2035-07-08</v>
      </c>
      <c r="Q129" s="93">
        <v>5.3399999999999996E-2</v>
      </c>
      <c r="R129" s="93">
        <v>5.0900000000000001E-2</v>
      </c>
      <c r="S129" s="93">
        <v>1.2800000000000001E-2</v>
      </c>
      <c r="T129" s="94">
        <v>7.54</v>
      </c>
      <c r="U129" s="93" t="str">
        <v>A-</v>
      </c>
      <c r="V129" s="93">
        <v>9.6438356164383556</v>
      </c>
      <c r="W129" s="94">
        <v>7</v>
      </c>
      <c r="X129" s="104">
        <v>19</v>
      </c>
      <c r="Y129" s="90"/>
      <c r="Z129" s="101" t="str">
        <v>BANK OF AMERICA CORP MTN</v>
      </c>
      <c r="AA129" s="93">
        <v>4.8407919244908282E-3</v>
      </c>
      <c r="AB129" s="93" t="str">
        <v>2027-11-25</v>
      </c>
      <c r="AC129" s="93">
        <v>4.1799999999999997E-2</v>
      </c>
      <c r="AD129" s="93">
        <v>4.1200000000000001E-2</v>
      </c>
      <c r="AE129" s="93">
        <v>6.8999999999999999E-3</v>
      </c>
      <c r="AF129" s="94">
        <v>2.08</v>
      </c>
      <c r="AG129" s="93" t="str">
        <v>A-</v>
      </c>
      <c r="AH129" s="94">
        <v>2.021917808219178</v>
      </c>
      <c r="AI129" s="82">
        <v>7</v>
      </c>
      <c r="AJ129" s="82">
        <v>26</v>
      </c>
    </row>
    <row r="130" spans="1:36" x14ac:dyDescent="0.45">
      <c r="A130" s="82" t="str">
        <v>INTEL CORPORATION</v>
      </c>
      <c r="B130" s="93">
        <v>1.8761157214852719E-3</v>
      </c>
      <c r="C130" s="93" t="str">
        <f>'FIM IA 2'!I43</f>
        <v>2033-02-10</v>
      </c>
      <c r="D130" s="93">
        <f>'FIM IA 2'!J43/100</f>
        <v>5.2000000000000005E-2</v>
      </c>
      <c r="E130" s="93">
        <f>'FIM IA 2'!K43</f>
        <v>4.9399999999999999E-2</v>
      </c>
      <c r="F130" s="93">
        <f>'FIM IA 2'!M43</f>
        <v>1.2999999999999999E-2</v>
      </c>
      <c r="G130" s="94">
        <f>'FIM IA 2'!N43</f>
        <v>6.1</v>
      </c>
      <c r="H130" s="93" t="str">
        <f>'FIM IA 2'!L43</f>
        <v>BBB</v>
      </c>
      <c r="I130" s="94">
        <f>(C130-Daten!$E$49)/365</f>
        <v>7.2383561643835614</v>
      </c>
      <c r="J130" s="82">
        <f t="shared" si="5"/>
        <v>9</v>
      </c>
      <c r="K130" s="94">
        <f t="shared" si="6"/>
        <v>43</v>
      </c>
      <c r="L130" s="90"/>
      <c r="M130" s="90"/>
      <c r="N130" s="104" t="str">
        <v>GENERAL ELECTRIC CO MTN</v>
      </c>
      <c r="O130" s="98">
        <v>5.551790133628387E-3</v>
      </c>
      <c r="P130" s="93" t="str">
        <v>2032-03-15</v>
      </c>
      <c r="Q130" s="93">
        <v>6.7500000000000004E-2</v>
      </c>
      <c r="R130" s="93">
        <v>4.2599999999999999E-2</v>
      </c>
      <c r="S130" s="93">
        <v>7.0000000000000001E-3</v>
      </c>
      <c r="T130" s="94">
        <v>5.21</v>
      </c>
      <c r="U130" s="93" t="str">
        <v>A-</v>
      </c>
      <c r="V130" s="93">
        <v>6.3287671232876717</v>
      </c>
      <c r="W130" s="94">
        <v>7</v>
      </c>
      <c r="X130" s="104">
        <v>20</v>
      </c>
      <c r="Y130" s="90"/>
      <c r="Z130" s="101" t="str">
        <v>GENERAL ELECTRIC CO MTN</v>
      </c>
      <c r="AA130" s="93">
        <v>5.551790133628387E-3</v>
      </c>
      <c r="AB130" s="93" t="str">
        <v>2032-03-15</v>
      </c>
      <c r="AC130" s="93">
        <v>6.7500000000000004E-2</v>
      </c>
      <c r="AD130" s="93">
        <v>4.2599999999999999E-2</v>
      </c>
      <c r="AE130" s="93">
        <v>7.0000000000000001E-3</v>
      </c>
      <c r="AF130" s="94">
        <v>5.21</v>
      </c>
      <c r="AG130" s="93" t="str">
        <v>A-</v>
      </c>
      <c r="AH130" s="94">
        <v>6.3287671232876717</v>
      </c>
      <c r="AI130" s="82">
        <v>7</v>
      </c>
      <c r="AJ130" s="82">
        <v>20</v>
      </c>
    </row>
    <row r="131" spans="1:36" x14ac:dyDescent="0.45">
      <c r="A131" s="82" t="str">
        <v>KOREA DEVELOPMENT BANK</v>
      </c>
      <c r="B131" s="93">
        <v>6.0315194815412365E-3</v>
      </c>
      <c r="C131" s="93" t="str">
        <f>'FIM IA 2'!I44</f>
        <v>2028-02-03</v>
      </c>
      <c r="D131" s="93">
        <f>'FIM IA 2'!J44/100</f>
        <v>4.6300000000000001E-2</v>
      </c>
      <c r="E131" s="93">
        <f>'FIM IA 2'!K44</f>
        <v>3.8599999999999898E-2</v>
      </c>
      <c r="F131" s="93">
        <f>'FIM IA 2'!M44</f>
        <v>4.1000000000000003E-3</v>
      </c>
      <c r="G131" s="94">
        <f>'FIM IA 2'!N44</f>
        <v>2.2599999999999998</v>
      </c>
      <c r="H131" s="93" t="str">
        <f>'FIM IA 2'!L44</f>
        <v>AA</v>
      </c>
      <c r="I131" s="94">
        <f>(C131-Daten!$E$49)/365</f>
        <v>2.2136986301369861</v>
      </c>
      <c r="J131" s="82">
        <f t="shared" si="5"/>
        <v>3</v>
      </c>
      <c r="K131" s="94">
        <f t="shared" si="6"/>
        <v>13</v>
      </c>
      <c r="L131" s="90"/>
      <c r="M131" s="90"/>
      <c r="N131" s="104" t="str">
        <v>BAIDU INC</v>
      </c>
      <c r="O131" s="98">
        <v>5.4585558705959603E-3</v>
      </c>
      <c r="P131" s="93" t="str">
        <v>2030-04-07</v>
      </c>
      <c r="Q131" s="93">
        <v>3.4200000000000001E-2</v>
      </c>
      <c r="R131" s="93">
        <v>4.1099999999999998E-2</v>
      </c>
      <c r="S131" s="93">
        <v>6.3E-3</v>
      </c>
      <c r="T131" s="94">
        <v>4.13</v>
      </c>
      <c r="U131" s="93" t="str">
        <v>A</v>
      </c>
      <c r="V131" s="93">
        <v>4.3890410958904109</v>
      </c>
      <c r="W131" s="94">
        <v>6</v>
      </c>
      <c r="X131" s="104">
        <v>21</v>
      </c>
      <c r="Y131" s="90"/>
      <c r="Z131" s="101" t="str">
        <v>HONDA MOTOR CO LTD</v>
      </c>
      <c r="AA131" s="93">
        <v>5.5545472919695804E-3</v>
      </c>
      <c r="AB131" s="93" t="str">
        <v>2035-07-08</v>
      </c>
      <c r="AC131" s="93">
        <v>5.3399999999999996E-2</v>
      </c>
      <c r="AD131" s="93">
        <v>5.0900000000000001E-2</v>
      </c>
      <c r="AE131" s="93">
        <v>1.2800000000000001E-2</v>
      </c>
      <c r="AF131" s="94">
        <v>7.54</v>
      </c>
      <c r="AG131" s="93" t="str">
        <v>A-</v>
      </c>
      <c r="AH131" s="94">
        <v>9.6438356164383556</v>
      </c>
      <c r="AI131" s="82">
        <v>7</v>
      </c>
      <c r="AJ131" s="82">
        <v>19</v>
      </c>
    </row>
    <row r="132" spans="1:36" x14ac:dyDescent="0.45">
      <c r="A132" s="82" t="str">
        <v>LENOVO GROUP LTD RegS</v>
      </c>
      <c r="B132" s="93">
        <v>8.1647249934690969E-3</v>
      </c>
      <c r="C132" s="93" t="str">
        <f>'FIM IA 2'!I45</f>
        <v>2028-01-27</v>
      </c>
      <c r="D132" s="93">
        <f>'FIM IA 2'!J45/100</f>
        <v>5.8299999999999998E-2</v>
      </c>
      <c r="E132" s="93">
        <f>'FIM IA 2'!K45</f>
        <v>4.2900000000000001E-2</v>
      </c>
      <c r="F132" s="93">
        <f>'FIM IA 2'!M45</f>
        <v>8.8999999999999999E-3</v>
      </c>
      <c r="G132" s="94">
        <f>'FIM IA 2'!N45</f>
        <v>2.21</v>
      </c>
      <c r="H132" s="93" t="str">
        <f>'FIM IA 2'!L45</f>
        <v>BBB</v>
      </c>
      <c r="I132" s="94">
        <f>(C132-Daten!$E$49)/365</f>
        <v>2.1945205479452055</v>
      </c>
      <c r="J132" s="82">
        <f t="shared" si="5"/>
        <v>9</v>
      </c>
      <c r="K132" s="94">
        <f t="shared" si="6"/>
        <v>4</v>
      </c>
      <c r="L132" s="90"/>
      <c r="M132" s="90"/>
      <c r="N132" s="104" t="str">
        <v>MITSUBISHI UFJ FINANCIAL GROUP INC</v>
      </c>
      <c r="O132" s="98">
        <v>5.4519929671470457E-3</v>
      </c>
      <c r="P132" s="93" t="str">
        <v>2036-04-24</v>
      </c>
      <c r="Q132" s="93">
        <v>5.62E-2</v>
      </c>
      <c r="R132" s="93">
        <v>4.9500000000000002E-2</v>
      </c>
      <c r="S132" s="93">
        <v>1.1599999999999999E-2</v>
      </c>
      <c r="T132" s="94">
        <v>7.31</v>
      </c>
      <c r="U132" s="93" t="str">
        <v>A-</v>
      </c>
      <c r="V132" s="93">
        <v>10.441095890410958</v>
      </c>
      <c r="W132" s="94">
        <v>7</v>
      </c>
      <c r="X132" s="104">
        <v>22</v>
      </c>
      <c r="Y132" s="90"/>
      <c r="Z132" s="101" t="str">
        <v>HSBC HOLDINGS PLC</v>
      </c>
      <c r="AA132" s="93">
        <v>4.2697150978796561E-3</v>
      </c>
      <c r="AB132" s="93" t="str">
        <v>2036-05-13</v>
      </c>
      <c r="AC132" s="93">
        <v>5.79E-2</v>
      </c>
      <c r="AD132" s="93">
        <v>5.0799999999999998E-2</v>
      </c>
      <c r="AE132" s="93">
        <v>1.38E-2</v>
      </c>
      <c r="AF132" s="94">
        <v>7.3</v>
      </c>
      <c r="AG132" s="93" t="str">
        <v>A-</v>
      </c>
      <c r="AH132" s="94">
        <v>10.493150684931507</v>
      </c>
      <c r="AI132" s="82">
        <v>7</v>
      </c>
      <c r="AJ132" s="82">
        <v>30</v>
      </c>
    </row>
    <row r="133" spans="1:36" x14ac:dyDescent="0.45">
      <c r="A133" s="82" t="str">
        <v>LLOYDS BANKING GROUP PLC</v>
      </c>
      <c r="B133" s="93">
        <v>3.9602788242820708E-3</v>
      </c>
      <c r="C133" s="93" t="str">
        <f>'FIM IA 2'!I46</f>
        <v>2028-11-07</v>
      </c>
      <c r="D133" s="93">
        <f>'FIM IA 2'!J46/100</f>
        <v>3.5699999999999996E-2</v>
      </c>
      <c r="E133" s="93">
        <f>'FIM IA 2'!K46</f>
        <v>4.1799999999999997E-2</v>
      </c>
      <c r="F133" s="93">
        <f>'FIM IA 2'!M46</f>
        <v>1.32E-2</v>
      </c>
      <c r="G133" s="94">
        <f>'FIM IA 2'!N46</f>
        <v>2.92</v>
      </c>
      <c r="H133" s="93" t="str">
        <f>'FIM IA 2'!L46</f>
        <v>BBB+</v>
      </c>
      <c r="I133" s="94">
        <f>(C133-Daten!$E$49)/365</f>
        <v>2.9753424657534246</v>
      </c>
      <c r="J133" s="82">
        <f t="shared" si="5"/>
        <v>8</v>
      </c>
      <c r="K133" s="94">
        <f t="shared" si="6"/>
        <v>34</v>
      </c>
      <c r="L133" s="90"/>
      <c r="M133" s="90"/>
      <c r="N133" s="104" t="str">
        <v>TREASURY NOTE</v>
      </c>
      <c r="O133" s="98">
        <v>5.0362868285867002E-3</v>
      </c>
      <c r="P133" s="93" t="str">
        <v>2029-06-30</v>
      </c>
      <c r="Q133" s="93">
        <v>4.2500000000000003E-2</v>
      </c>
      <c r="R133" s="93">
        <v>3.5400000000000001E-2</v>
      </c>
      <c r="S133" s="93">
        <v>8.9999999999999998E-4</v>
      </c>
      <c r="T133" s="94">
        <v>3.48</v>
      </c>
      <c r="U133" s="93" t="str">
        <v>AA+</v>
      </c>
      <c r="V133" s="93">
        <v>3.6191780821917807</v>
      </c>
      <c r="W133" s="94">
        <v>2</v>
      </c>
      <c r="X133" s="104">
        <v>23</v>
      </c>
      <c r="Y133" s="90"/>
      <c r="Z133" s="101" t="str">
        <v>ING GROEP NV</v>
      </c>
      <c r="AA133" s="93">
        <v>4.5570069107689903E-3</v>
      </c>
      <c r="AB133" s="93" t="str">
        <v>2036-03-25</v>
      </c>
      <c r="AC133" s="93">
        <v>5.5300000000000002E-2</v>
      </c>
      <c r="AD133" s="93">
        <v>5.04E-2</v>
      </c>
      <c r="AE133" s="93">
        <v>1.3299999999999999E-2</v>
      </c>
      <c r="AF133" s="94">
        <v>7.24</v>
      </c>
      <c r="AG133" s="93" t="str">
        <v>A-</v>
      </c>
      <c r="AH133" s="94">
        <v>10.358904109589041</v>
      </c>
      <c r="AI133" s="82">
        <v>7</v>
      </c>
      <c r="AJ133" s="82">
        <v>27</v>
      </c>
    </row>
    <row r="134" spans="1:36" x14ac:dyDescent="0.45">
      <c r="A134" s="82" t="str">
        <v>LOCKHEED MARTIN CORPORATION</v>
      </c>
      <c r="B134" s="93">
        <v>3.1889048514799345E-3</v>
      </c>
      <c r="C134" s="93" t="str">
        <f>'FIM IA 2'!I47</f>
        <v>2034-02-15</v>
      </c>
      <c r="D134" s="93">
        <f>'FIM IA 2'!J47/100</f>
        <v>4.7500000000000001E-2</v>
      </c>
      <c r="E134" s="93">
        <f>'FIM IA 2'!K47</f>
        <v>4.5999999999999999E-2</v>
      </c>
      <c r="F134" s="93">
        <f>'FIM IA 2'!M47</f>
        <v>8.6E-3</v>
      </c>
      <c r="G134" s="94">
        <f>'FIM IA 2'!N47</f>
        <v>6.89</v>
      </c>
      <c r="H134" s="93" t="str">
        <f>'FIM IA 2'!L47</f>
        <v>A-</v>
      </c>
      <c r="I134" s="94">
        <f>(C134-Daten!$E$49)/365</f>
        <v>8.2520547945205482</v>
      </c>
      <c r="J134" s="82">
        <f t="shared" si="5"/>
        <v>7</v>
      </c>
      <c r="K134" s="94">
        <f t="shared" si="6"/>
        <v>39</v>
      </c>
      <c r="L134" s="90"/>
      <c r="M134" s="90"/>
      <c r="N134" s="104" t="str">
        <v>AUSTRALIA AND NEW ZEALAND BANKING MTN</v>
      </c>
      <c r="O134" s="98">
        <v>4.9897429602703269E-3</v>
      </c>
      <c r="P134" s="93" t="str">
        <v>2028-06-18</v>
      </c>
      <c r="Q134" s="93">
        <v>4.36E-2</v>
      </c>
      <c r="R134" s="93">
        <v>3.85E-2</v>
      </c>
      <c r="S134" s="93">
        <v>4.1000000000000003E-3</v>
      </c>
      <c r="T134" s="94">
        <v>2.58</v>
      </c>
      <c r="U134" s="93" t="str">
        <v>AA-</v>
      </c>
      <c r="V134" s="93">
        <v>2.5863013698630137</v>
      </c>
      <c r="W134" s="94">
        <v>4</v>
      </c>
      <c r="X134" s="104">
        <v>24</v>
      </c>
      <c r="Y134" s="90"/>
      <c r="Z134" s="101" t="str">
        <v>LOCKHEED MARTIN CORPORATION</v>
      </c>
      <c r="AA134" s="93">
        <v>3.1889048514799345E-3</v>
      </c>
      <c r="AB134" s="93" t="str">
        <v>2034-02-15</v>
      </c>
      <c r="AC134" s="93">
        <v>4.7500000000000001E-2</v>
      </c>
      <c r="AD134" s="93">
        <v>4.5999999999999999E-2</v>
      </c>
      <c r="AE134" s="93">
        <v>8.6E-3</v>
      </c>
      <c r="AF134" s="94">
        <v>6.89</v>
      </c>
      <c r="AG134" s="93" t="str">
        <v>A-</v>
      </c>
      <c r="AH134" s="94">
        <v>8.2520547945205482</v>
      </c>
      <c r="AI134" s="82">
        <v>7</v>
      </c>
      <c r="AJ134" s="82">
        <v>39</v>
      </c>
    </row>
    <row r="135" spans="1:36" x14ac:dyDescent="0.45">
      <c r="A135" s="82" t="str">
        <v>META PLATFORMS INC</v>
      </c>
      <c r="B135" s="93">
        <v>-1.1534000762003505E-4</v>
      </c>
      <c r="C135" s="93" t="str">
        <f>'FIM IA 2'!I48</f>
        <v>2032-08-15</v>
      </c>
      <c r="D135" s="93">
        <f>'FIM IA 2'!J48/100</f>
        <v>3.85E-2</v>
      </c>
      <c r="E135" s="93">
        <f>'FIM IA 2'!K48</f>
        <v>4.2299999999999997E-2</v>
      </c>
      <c r="F135" s="93">
        <f>'FIM IA 2'!M48</f>
        <v>5.8999999999999999E-3</v>
      </c>
      <c r="G135" s="94">
        <f>'FIM IA 2'!N48</f>
        <v>6.01</v>
      </c>
      <c r="H135" s="93" t="str">
        <f>'FIM IA 2'!L48</f>
        <v>AA-</v>
      </c>
      <c r="I135" s="94">
        <f>(C135-Daten!$E$49)/365</f>
        <v>6.7479452054794518</v>
      </c>
      <c r="J135" s="82">
        <f t="shared" si="5"/>
        <v>4</v>
      </c>
      <c r="K135" s="94">
        <f t="shared" si="6"/>
        <v>48</v>
      </c>
      <c r="L135" s="90"/>
      <c r="M135" s="90"/>
      <c r="N135" s="104" t="str">
        <v>TENCENT HOLDINGS LTD MTN RegS</v>
      </c>
      <c r="O135" s="98">
        <v>4.9230322231303969E-3</v>
      </c>
      <c r="P135" s="93" t="str">
        <v>2028-01-19</v>
      </c>
      <c r="Q135" s="93">
        <v>3.6000000000000004E-2</v>
      </c>
      <c r="R135" s="93">
        <v>4.0099999999999997E-2</v>
      </c>
      <c r="S135" s="93">
        <v>5.5999999999999999E-3</v>
      </c>
      <c r="T135" s="94">
        <v>2.2400000000000002</v>
      </c>
      <c r="U135" s="93" t="str">
        <v>A+</v>
      </c>
      <c r="V135" s="93">
        <v>2.1726027397260275</v>
      </c>
      <c r="W135" s="94">
        <v>5</v>
      </c>
      <c r="X135" s="104">
        <v>25</v>
      </c>
      <c r="Y135" s="90"/>
      <c r="Z135" s="101" t="str">
        <v>MITSUBISHI UFJ FINANCIAL GROUP INC</v>
      </c>
      <c r="AA135" s="93">
        <v>5.4519929671470457E-3</v>
      </c>
      <c r="AB135" s="93" t="str">
        <v>2036-04-24</v>
      </c>
      <c r="AC135" s="93">
        <v>5.62E-2</v>
      </c>
      <c r="AD135" s="93">
        <v>4.9500000000000002E-2</v>
      </c>
      <c r="AE135" s="93">
        <v>1.1599999999999999E-2</v>
      </c>
      <c r="AF135" s="94">
        <v>7.31</v>
      </c>
      <c r="AG135" s="93" t="str">
        <v>A-</v>
      </c>
      <c r="AH135" s="94">
        <v>10.441095890410958</v>
      </c>
      <c r="AI135" s="82">
        <v>7</v>
      </c>
      <c r="AJ135" s="82">
        <v>22</v>
      </c>
    </row>
    <row r="136" spans="1:36" x14ac:dyDescent="0.45">
      <c r="A136" s="82" t="str">
        <v>METLIFE INC</v>
      </c>
      <c r="B136" s="93">
        <v>2.6517724473646975E-3</v>
      </c>
      <c r="C136" s="93" t="str">
        <f>'FIM IA 2'!I49</f>
        <v>2035-06-15</v>
      </c>
      <c r="D136" s="93">
        <f>'FIM IA 2'!J49/100</f>
        <v>5.7000000000000002E-2</v>
      </c>
      <c r="E136" s="93">
        <f>'FIM IA 2'!K49</f>
        <v>4.7599999999999899E-2</v>
      </c>
      <c r="F136" s="93">
        <f>'FIM IA 2'!M49</f>
        <v>9.5999999999999992E-3</v>
      </c>
      <c r="G136" s="94">
        <f>'FIM IA 2'!N49</f>
        <v>7.45</v>
      </c>
      <c r="H136" s="93" t="str">
        <f>'FIM IA 2'!L49</f>
        <v>A</v>
      </c>
      <c r="I136" s="94">
        <f>(C136-Daten!$E$49)/365</f>
        <v>9.580821917808219</v>
      </c>
      <c r="J136" s="82">
        <f t="shared" si="5"/>
        <v>6</v>
      </c>
      <c r="K136" s="94">
        <f t="shared" si="6"/>
        <v>42</v>
      </c>
      <c r="L136" s="90"/>
      <c r="M136" s="90"/>
      <c r="N136" s="104" t="str">
        <v>BANK OF AMERICA CORP MTN</v>
      </c>
      <c r="O136" s="98">
        <v>4.8407919244908282E-3</v>
      </c>
      <c r="P136" s="93" t="str">
        <v>2027-11-25</v>
      </c>
      <c r="Q136" s="93">
        <v>4.1799999999999997E-2</v>
      </c>
      <c r="R136" s="93">
        <v>4.1200000000000001E-2</v>
      </c>
      <c r="S136" s="93">
        <v>6.8999999999999999E-3</v>
      </c>
      <c r="T136" s="94">
        <v>2.08</v>
      </c>
      <c r="U136" s="93" t="str">
        <v>A-</v>
      </c>
      <c r="V136" s="93">
        <v>2.021917808219178</v>
      </c>
      <c r="W136" s="94">
        <v>7</v>
      </c>
      <c r="X136" s="104">
        <v>26</v>
      </c>
      <c r="Y136" s="90"/>
      <c r="Z136" s="101" t="str">
        <v>CITIGROUP INC</v>
      </c>
      <c r="AA136" s="93">
        <v>3.8123478607758887E-3</v>
      </c>
      <c r="AB136" s="93" t="str">
        <v>2028-07-25</v>
      </c>
      <c r="AC136" s="93">
        <v>4.1299999999999996E-2</v>
      </c>
      <c r="AD136" s="93">
        <v>4.0999999999999898E-2</v>
      </c>
      <c r="AE136" s="93">
        <v>6.7000000000000002E-3</v>
      </c>
      <c r="AF136" s="94">
        <v>2.69</v>
      </c>
      <c r="AG136" s="93" t="str">
        <v>BBB+</v>
      </c>
      <c r="AH136" s="94">
        <v>2.6876712328767125</v>
      </c>
      <c r="AI136" s="82">
        <v>8</v>
      </c>
      <c r="AJ136" s="82">
        <v>36</v>
      </c>
    </row>
    <row r="137" spans="1:36" x14ac:dyDescent="0.45">
      <c r="A137" s="82" t="str">
        <v>MEXICO (UNITED MEXICAN STATES) (GO</v>
      </c>
      <c r="B137" s="93">
        <v>3.984589565205976E-3</v>
      </c>
      <c r="C137" s="93" t="str">
        <f>'FIM IA 2'!I50</f>
        <v>2030-04-16</v>
      </c>
      <c r="D137" s="93">
        <f>'FIM IA 2'!J50/100</f>
        <v>3.2500000000000001E-2</v>
      </c>
      <c r="E137" s="93">
        <f>'FIM IA 2'!K50</f>
        <v>4.7300000000000002E-2</v>
      </c>
      <c r="F137" s="93">
        <f>'FIM IA 2'!M50</f>
        <v>1.2500000000000001E-2</v>
      </c>
      <c r="G137" s="94">
        <f>'FIM IA 2'!N50</f>
        <v>4.16</v>
      </c>
      <c r="H137" s="93" t="str">
        <f>'FIM IA 2'!L50</f>
        <v>BBB</v>
      </c>
      <c r="I137" s="94">
        <f>(C137-Daten!$E$49)/365</f>
        <v>4.4136986301369863</v>
      </c>
      <c r="J137" s="82">
        <f t="shared" si="5"/>
        <v>9</v>
      </c>
      <c r="K137" s="94">
        <f t="shared" si="6"/>
        <v>33</v>
      </c>
      <c r="L137" s="90"/>
      <c r="M137" s="90"/>
      <c r="N137" s="104" t="str">
        <v>ING GROEP NV</v>
      </c>
      <c r="O137" s="98">
        <v>4.5570069107689903E-3</v>
      </c>
      <c r="P137" s="93" t="str">
        <v>2036-03-25</v>
      </c>
      <c r="Q137" s="93">
        <v>5.5300000000000002E-2</v>
      </c>
      <c r="R137" s="93">
        <v>5.04E-2</v>
      </c>
      <c r="S137" s="93">
        <v>1.3299999999999999E-2</v>
      </c>
      <c r="T137" s="94">
        <v>7.24</v>
      </c>
      <c r="U137" s="93" t="str">
        <v>A-</v>
      </c>
      <c r="V137" s="93">
        <v>10.358904109589041</v>
      </c>
      <c r="W137" s="94">
        <v>7</v>
      </c>
      <c r="X137" s="104">
        <v>27</v>
      </c>
      <c r="Y137" s="90"/>
      <c r="Z137" s="101" t="str">
        <v>LLOYDS BANKING GROUP PLC</v>
      </c>
      <c r="AA137" s="93">
        <v>3.9602788242820708E-3</v>
      </c>
      <c r="AB137" s="93" t="str">
        <v>2028-11-07</v>
      </c>
      <c r="AC137" s="93">
        <v>3.5699999999999996E-2</v>
      </c>
      <c r="AD137" s="93">
        <v>4.1799999999999997E-2</v>
      </c>
      <c r="AE137" s="93">
        <v>1.32E-2</v>
      </c>
      <c r="AF137" s="94">
        <v>2.92</v>
      </c>
      <c r="AG137" s="93" t="str">
        <v>BBB+</v>
      </c>
      <c r="AH137" s="94">
        <v>2.9753424657534246</v>
      </c>
      <c r="AI137" s="82">
        <v>8</v>
      </c>
      <c r="AJ137" s="82">
        <v>34</v>
      </c>
    </row>
    <row r="138" spans="1:36" x14ac:dyDescent="0.45">
      <c r="A138" s="82" t="str">
        <v>MITSUBISHI UFJ FINANCIAL GROUP INC</v>
      </c>
      <c r="B138" s="93">
        <v>5.4519929671470457E-3</v>
      </c>
      <c r="C138" s="93" t="str">
        <f>'FIM IA 2'!I51</f>
        <v>2036-04-24</v>
      </c>
      <c r="D138" s="93">
        <f>'FIM IA 2'!J51/100</f>
        <v>5.62E-2</v>
      </c>
      <c r="E138" s="93">
        <f>'FIM IA 2'!K51</f>
        <v>4.9500000000000002E-2</v>
      </c>
      <c r="F138" s="93">
        <f>'FIM IA 2'!M51</f>
        <v>1.1599999999999999E-2</v>
      </c>
      <c r="G138" s="94">
        <f>'FIM IA 2'!N51</f>
        <v>7.31</v>
      </c>
      <c r="H138" s="93" t="str">
        <f>'FIM IA 2'!L51</f>
        <v>A-</v>
      </c>
      <c r="I138" s="94">
        <f>(C138-Daten!$E$49)/365</f>
        <v>10.441095890410958</v>
      </c>
      <c r="J138" s="82">
        <f t="shared" si="5"/>
        <v>7</v>
      </c>
      <c r="K138" s="94">
        <f t="shared" si="6"/>
        <v>22</v>
      </c>
      <c r="L138" s="90"/>
      <c r="M138" s="90"/>
      <c r="N138" s="104" t="str">
        <v>WESTPAC BANKING CORP</v>
      </c>
      <c r="O138" s="98">
        <v>4.4004886860804504E-3</v>
      </c>
      <c r="P138" s="93" t="str">
        <v>2027-08-26</v>
      </c>
      <c r="Q138" s="93">
        <v>4.0399999999999998E-2</v>
      </c>
      <c r="R138" s="93">
        <v>3.7599999999999897E-2</v>
      </c>
      <c r="S138" s="93">
        <v>3.0000000000000001E-3</v>
      </c>
      <c r="T138" s="94">
        <v>1.88</v>
      </c>
      <c r="U138" s="93" t="str">
        <v>AA-</v>
      </c>
      <c r="V138" s="93">
        <v>1.7726027397260273</v>
      </c>
      <c r="W138" s="94">
        <v>4</v>
      </c>
      <c r="X138" s="104">
        <v>28</v>
      </c>
      <c r="Y138" s="90"/>
      <c r="Z138" s="101" t="str">
        <v>PHILIPPINES (REPUBLIC OF)</v>
      </c>
      <c r="AA138" s="93">
        <v>6.6751850970863114E-3</v>
      </c>
      <c r="AB138" s="93" t="str">
        <v>2032-01-15</v>
      </c>
      <c r="AC138" s="93">
        <v>6.3799999999999996E-2</v>
      </c>
      <c r="AD138" s="93">
        <v>4.4199999999999899E-2</v>
      </c>
      <c r="AE138" s="93">
        <v>8.6E-3</v>
      </c>
      <c r="AF138" s="94">
        <v>5.23</v>
      </c>
      <c r="AG138" s="93" t="str">
        <v>BBB+</v>
      </c>
      <c r="AH138" s="94">
        <v>6.1643835616438354</v>
      </c>
      <c r="AI138" s="82">
        <v>8</v>
      </c>
      <c r="AJ138" s="82">
        <v>7</v>
      </c>
    </row>
    <row r="139" spans="1:36" x14ac:dyDescent="0.45">
      <c r="A139" s="82" t="str">
        <v>OCCIDENTAL PETROLEUM CORPORATION</v>
      </c>
      <c r="B139" s="93">
        <v>7.6830373608915981E-3</v>
      </c>
      <c r="C139" s="93" t="str">
        <f>'FIM IA 2'!I52</f>
        <v>2030-09-01</v>
      </c>
      <c r="D139" s="93">
        <f>'FIM IA 2'!J52/100</f>
        <v>6.6299999999999998E-2</v>
      </c>
      <c r="E139" s="93">
        <f>'FIM IA 2'!K52</f>
        <v>4.8799999999999899E-2</v>
      </c>
      <c r="F139" s="93">
        <f>'FIM IA 2'!M52</f>
        <v>1.54E-2</v>
      </c>
      <c r="G139" s="94">
        <f>'FIM IA 2'!N52</f>
        <v>4.25</v>
      </c>
      <c r="H139" s="93" t="str">
        <f>'FIM IA 2'!L52</f>
        <v>BB+</v>
      </c>
      <c r="I139" s="94">
        <f>(C139-Daten!$E$49)/365</f>
        <v>4.7917808219178086</v>
      </c>
      <c r="J139" s="82">
        <f t="shared" si="5"/>
        <v>11</v>
      </c>
      <c r="K139" s="94">
        <f t="shared" si="6"/>
        <v>5</v>
      </c>
      <c r="L139" s="90"/>
      <c r="M139" s="90"/>
      <c r="N139" s="104" t="str">
        <v>HEWLETT PACKARD ENTERPRISE CO</v>
      </c>
      <c r="O139" s="98">
        <v>4.3162475378877296E-3</v>
      </c>
      <c r="P139" s="93" t="str">
        <v>2029-10-15</v>
      </c>
      <c r="Q139" s="93">
        <v>4.5499999999999999E-2</v>
      </c>
      <c r="R139" s="93">
        <v>4.2900000000000001E-2</v>
      </c>
      <c r="S139" s="93">
        <v>8.3000000000000001E-3</v>
      </c>
      <c r="T139" s="94">
        <v>3.65</v>
      </c>
      <c r="U139" s="93" t="str">
        <v>BBB</v>
      </c>
      <c r="V139" s="93">
        <v>3.9123287671232876</v>
      </c>
      <c r="W139" s="94">
        <v>9</v>
      </c>
      <c r="X139" s="104">
        <v>29</v>
      </c>
      <c r="Y139" s="90"/>
      <c r="Z139" s="101" t="str">
        <v>PHILLIPS 66 CO</v>
      </c>
      <c r="AA139" s="93">
        <v>3.2586291473273299E-3</v>
      </c>
      <c r="AB139" s="93" t="str">
        <v>2035-03-15</v>
      </c>
      <c r="AC139" s="93">
        <v>4.9500000000000002E-2</v>
      </c>
      <c r="AD139" s="93">
        <v>5.0299999999999997E-2</v>
      </c>
      <c r="AE139" s="93">
        <v>1.24E-2</v>
      </c>
      <c r="AF139" s="94">
        <v>7.34</v>
      </c>
      <c r="AG139" s="93" t="str">
        <v>BBB+</v>
      </c>
      <c r="AH139" s="94">
        <v>9.3287671232876708</v>
      </c>
      <c r="AI139" s="82">
        <v>8</v>
      </c>
      <c r="AJ139" s="82">
        <v>38</v>
      </c>
    </row>
    <row r="140" spans="1:36" x14ac:dyDescent="0.45">
      <c r="A140" s="82" t="str">
        <v>OIL INDIA LTD RegS</v>
      </c>
      <c r="B140" s="93">
        <v>6.1094254612219512E-3</v>
      </c>
      <c r="C140" s="93" t="str">
        <f>'FIM IA 2'!I53</f>
        <v>2029-02-04</v>
      </c>
      <c r="D140" s="93">
        <f>'FIM IA 2'!J53/100</f>
        <v>5.1299999999999998E-2</v>
      </c>
      <c r="E140" s="93">
        <f>'FIM IA 2'!K53</f>
        <v>4.3799999999999999E-2</v>
      </c>
      <c r="F140" s="93">
        <f>'FIM IA 2'!M53</f>
        <v>9.5999999999999992E-3</v>
      </c>
      <c r="G140" s="94">
        <f>'FIM IA 2'!N53</f>
        <v>3.1</v>
      </c>
      <c r="H140" s="93" t="str">
        <f>'FIM IA 2'!L53</f>
        <v>BBB-</v>
      </c>
      <c r="I140" s="94">
        <f>(C140-Daten!$E$49)/365</f>
        <v>3.2191780821917808</v>
      </c>
      <c r="J140" s="82">
        <f t="shared" si="5"/>
        <v>10</v>
      </c>
      <c r="K140" s="94">
        <f t="shared" si="6"/>
        <v>12</v>
      </c>
      <c r="L140" s="90"/>
      <c r="M140" s="90"/>
      <c r="N140" s="104" t="str">
        <v>HSBC HOLDINGS PLC</v>
      </c>
      <c r="O140" s="98">
        <v>4.2697150978796561E-3</v>
      </c>
      <c r="P140" s="93" t="str">
        <v>2036-05-13</v>
      </c>
      <c r="Q140" s="93">
        <v>5.79E-2</v>
      </c>
      <c r="R140" s="93">
        <v>5.0799999999999998E-2</v>
      </c>
      <c r="S140" s="93">
        <v>1.38E-2</v>
      </c>
      <c r="T140" s="94">
        <v>7.3</v>
      </c>
      <c r="U140" s="93" t="str">
        <v>A-</v>
      </c>
      <c r="V140" s="93">
        <v>10.493150684931507</v>
      </c>
      <c r="W140" s="94">
        <v>7</v>
      </c>
      <c r="X140" s="104">
        <v>30</v>
      </c>
      <c r="Y140" s="90"/>
      <c r="Z140" s="101" t="str">
        <v>STANDARD CHARTERED PLC RegS</v>
      </c>
      <c r="AA140" s="93">
        <v>7.5169095873315328E-3</v>
      </c>
      <c r="AB140" s="93" t="str">
        <v>2030-02-08</v>
      </c>
      <c r="AC140" s="93">
        <v>7.0199999999999999E-2</v>
      </c>
      <c r="AD140" s="93">
        <v>4.3799999999999999E-2</v>
      </c>
      <c r="AE140" s="93">
        <v>1.26E-2</v>
      </c>
      <c r="AF140" s="94">
        <v>3.03</v>
      </c>
      <c r="AG140" s="93" t="str">
        <v>BBB+</v>
      </c>
      <c r="AH140" s="94">
        <v>4.2301369863013702</v>
      </c>
      <c r="AI140" s="82">
        <v>8</v>
      </c>
      <c r="AJ140" s="82">
        <v>6</v>
      </c>
    </row>
    <row r="141" spans="1:36" x14ac:dyDescent="0.45">
      <c r="A141" s="82" t="str">
        <v>ORACLE CORPORATION</v>
      </c>
      <c r="B141" s="93">
        <v>-1.344864896019704E-2</v>
      </c>
      <c r="C141" s="93" t="str">
        <f>'FIM IA 2'!I54</f>
        <v>2034-07-08</v>
      </c>
      <c r="D141" s="93">
        <f>'FIM IA 2'!J54/100</f>
        <v>4.2999999999999997E-2</v>
      </c>
      <c r="E141" s="93">
        <f>'FIM IA 2'!K54</f>
        <v>4.8599999999999997E-2</v>
      </c>
      <c r="F141" s="93">
        <f>'FIM IA 2'!M54</f>
        <v>1.09E-2</v>
      </c>
      <c r="G141" s="94">
        <f>'FIM IA 2'!N54</f>
        <v>7.19</v>
      </c>
      <c r="H141" s="93" t="str">
        <f>'FIM IA 2'!L54</f>
        <v>BBB</v>
      </c>
      <c r="I141" s="94">
        <f>(C141-Daten!$E$49)/365</f>
        <v>8.6438356164383556</v>
      </c>
      <c r="J141" s="82">
        <f t="shared" si="5"/>
        <v>9</v>
      </c>
      <c r="K141" s="94">
        <f t="shared" si="6"/>
        <v>49</v>
      </c>
      <c r="L141" s="90"/>
      <c r="M141" s="90"/>
      <c r="N141" s="104" t="str">
        <v>DELTA AIR LINES INC</v>
      </c>
      <c r="O141" s="98">
        <v>4.1354866207587992E-3</v>
      </c>
      <c r="P141" s="93" t="str">
        <v>2028-04-19</v>
      </c>
      <c r="Q141" s="93">
        <v>4.3799999999999999E-2</v>
      </c>
      <c r="R141" s="93">
        <v>4.2799999999999998E-2</v>
      </c>
      <c r="S141" s="93">
        <v>8.3999999999999995E-3</v>
      </c>
      <c r="T141" s="94">
        <v>2.41</v>
      </c>
      <c r="U141" s="93" t="str">
        <v>BBB-</v>
      </c>
      <c r="V141" s="93">
        <v>2.4219178082191779</v>
      </c>
      <c r="W141" s="94">
        <v>10</v>
      </c>
      <c r="X141" s="104">
        <v>31</v>
      </c>
      <c r="Y141" s="90"/>
      <c r="Z141" s="101" t="str">
        <v>CVS HEALTH CORP</v>
      </c>
      <c r="AA141" s="93">
        <v>5.7485177873395354E-3</v>
      </c>
      <c r="AB141" s="93" t="str">
        <v>2029-06-01</v>
      </c>
      <c r="AC141" s="93">
        <v>5.4000000000000006E-2</v>
      </c>
      <c r="AD141" s="93">
        <v>4.2999999999999997E-2</v>
      </c>
      <c r="AE141" s="93">
        <v>8.8000000000000005E-3</v>
      </c>
      <c r="AF141" s="94">
        <v>3.33</v>
      </c>
      <c r="AG141" s="93" t="str">
        <v>BBB</v>
      </c>
      <c r="AH141" s="94">
        <v>3.5397260273972604</v>
      </c>
      <c r="AI141" s="82">
        <v>9</v>
      </c>
      <c r="AJ141" s="82">
        <v>15</v>
      </c>
    </row>
    <row r="142" spans="1:36" x14ac:dyDescent="0.45">
      <c r="A142" s="82" t="str">
        <v>PAKISTAN (ISLAMIC REPUBLIC OF) RegS</v>
      </c>
      <c r="B142" s="93">
        <v>9.6671491138666799E-3</v>
      </c>
      <c r="C142" s="93" t="str">
        <f>'FIM IA 2'!I55</f>
        <v>2027-12-05</v>
      </c>
      <c r="D142" s="93">
        <f>'FIM IA 2'!J55/100</f>
        <v>6.88E-2</v>
      </c>
      <c r="E142" s="93">
        <f>'FIM IA 2'!K55</f>
        <v>7.2599999999999998E-2</v>
      </c>
      <c r="F142" s="93">
        <f>'FIM IA 2'!M55</f>
        <v>3.7999999999999999E-2</v>
      </c>
      <c r="G142" s="94">
        <f>'FIM IA 2'!N55</f>
        <v>2.02</v>
      </c>
      <c r="H142" s="93" t="str">
        <f>'FIM IA 2'!L55</f>
        <v>B-</v>
      </c>
      <c r="I142" s="94">
        <f>(C142-Daten!$E$49)/365</f>
        <v>2.0493150684931507</v>
      </c>
      <c r="J142" s="82">
        <f t="shared" si="5"/>
        <v>16</v>
      </c>
      <c r="K142" s="94">
        <f t="shared" si="6"/>
        <v>3</v>
      </c>
      <c r="L142" s="90"/>
      <c r="M142" s="90"/>
      <c r="N142" s="104" t="str">
        <v>TREASURY NOTE</v>
      </c>
      <c r="O142" s="98">
        <v>4.1164160776767655E-3</v>
      </c>
      <c r="P142" s="93" t="str">
        <v>2031-08-15</v>
      </c>
      <c r="Q142" s="93">
        <v>1.2500000000000001E-2</v>
      </c>
      <c r="R142" s="93">
        <v>3.7100000000000001E-2</v>
      </c>
      <c r="S142" s="93">
        <v>1.1000000000000001E-3</v>
      </c>
      <c r="T142" s="94">
        <v>5.62</v>
      </c>
      <c r="U142" s="93" t="str">
        <v>AA+</v>
      </c>
      <c r="V142" s="93">
        <v>5.7452054794520544</v>
      </c>
      <c r="W142" s="94">
        <v>2</v>
      </c>
      <c r="X142" s="104">
        <v>32</v>
      </c>
      <c r="Y142" s="90"/>
      <c r="Z142" s="101" t="str">
        <v>GENERAL MOTORS CO</v>
      </c>
      <c r="AA142" s="93">
        <v>6.3809420948925943E-3</v>
      </c>
      <c r="AB142" s="93" t="str">
        <v>2029-10-15</v>
      </c>
      <c r="AC142" s="93">
        <v>5.4000000000000006E-2</v>
      </c>
      <c r="AD142" s="93">
        <v>4.3899999999999897E-2</v>
      </c>
      <c r="AE142" s="93">
        <v>9.7999999999999997E-3</v>
      </c>
      <c r="AF142" s="94">
        <v>3.6</v>
      </c>
      <c r="AG142" s="93" t="str">
        <v>BBB</v>
      </c>
      <c r="AH142" s="94">
        <v>3.9123287671232876</v>
      </c>
      <c r="AI142" s="82">
        <v>9</v>
      </c>
      <c r="AJ142" s="82">
        <v>9</v>
      </c>
    </row>
    <row r="143" spans="1:36" x14ac:dyDescent="0.45">
      <c r="A143" s="82" t="str">
        <v>PETROLEOS MEXICANOS</v>
      </c>
      <c r="B143" s="93">
        <v>6.1334884049633054E-3</v>
      </c>
      <c r="C143" s="93" t="str">
        <f>'FIM IA 2'!I56</f>
        <v>2060-01-28</v>
      </c>
      <c r="D143" s="93">
        <f>'FIM IA 2'!J56/100</f>
        <v>6.9500000000000006E-2</v>
      </c>
      <c r="E143" s="93">
        <f>'FIM IA 2'!K56</f>
        <v>8.6199999999999999E-2</v>
      </c>
      <c r="F143" s="93">
        <f>'FIM IA 2'!M56</f>
        <v>4.4400000000000002E-2</v>
      </c>
      <c r="G143" s="94">
        <f>'FIM IA 2'!N56</f>
        <v>11.15</v>
      </c>
      <c r="H143" s="93" t="str">
        <f>'FIM IA 2'!L56</f>
        <v>BBB</v>
      </c>
      <c r="I143" s="94">
        <f>(C143-Daten!$E$49)/365</f>
        <v>34.219178082191782</v>
      </c>
      <c r="J143" s="82">
        <f t="shared" si="5"/>
        <v>9</v>
      </c>
      <c r="K143" s="94">
        <f t="shared" si="6"/>
        <v>11</v>
      </c>
      <c r="L143" s="90"/>
      <c r="M143" s="90"/>
      <c r="N143" s="104" t="str">
        <v>MEXICO (UNITED MEXICAN STATES) (GO</v>
      </c>
      <c r="O143" s="98">
        <v>3.984589565205976E-3</v>
      </c>
      <c r="P143" s="93" t="str">
        <v>2030-04-16</v>
      </c>
      <c r="Q143" s="93">
        <v>3.2500000000000001E-2</v>
      </c>
      <c r="R143" s="93">
        <v>4.7300000000000002E-2</v>
      </c>
      <c r="S143" s="93">
        <v>1.2500000000000001E-2</v>
      </c>
      <c r="T143" s="94">
        <v>4.16</v>
      </c>
      <c r="U143" s="93" t="str">
        <v>BBB</v>
      </c>
      <c r="V143" s="93">
        <v>4.4136986301369863</v>
      </c>
      <c r="W143" s="94">
        <v>9</v>
      </c>
      <c r="X143" s="104">
        <v>33</v>
      </c>
      <c r="Y143" s="90"/>
      <c r="Z143" s="101" t="str">
        <v>HEWLETT PACKARD ENTERPRISE CO</v>
      </c>
      <c r="AA143" s="93">
        <v>4.3162475378877296E-3</v>
      </c>
      <c r="AB143" s="93" t="str">
        <v>2029-10-15</v>
      </c>
      <c r="AC143" s="93">
        <v>4.5499999999999999E-2</v>
      </c>
      <c r="AD143" s="93">
        <v>4.2900000000000001E-2</v>
      </c>
      <c r="AE143" s="93">
        <v>8.3000000000000001E-3</v>
      </c>
      <c r="AF143" s="94">
        <v>3.65</v>
      </c>
      <c r="AG143" s="93" t="str">
        <v>BBB</v>
      </c>
      <c r="AH143" s="94">
        <v>3.9123287671232876</v>
      </c>
      <c r="AI143" s="82">
        <v>9</v>
      </c>
      <c r="AJ143" s="82">
        <v>29</v>
      </c>
    </row>
    <row r="144" spans="1:36" x14ac:dyDescent="0.45">
      <c r="A144" s="82" t="str">
        <v>PHILIPPINES (REPUBLIC OF)</v>
      </c>
      <c r="B144" s="93">
        <v>6.6751850970863114E-3</v>
      </c>
      <c r="C144" s="93" t="str">
        <f>'FIM IA 2'!I57</f>
        <v>2032-01-15</v>
      </c>
      <c r="D144" s="93">
        <f>'FIM IA 2'!J57/100</f>
        <v>6.3799999999999996E-2</v>
      </c>
      <c r="E144" s="93">
        <f>'FIM IA 2'!K57</f>
        <v>4.4199999999999899E-2</v>
      </c>
      <c r="F144" s="93">
        <f>'FIM IA 2'!M57</f>
        <v>8.6E-3</v>
      </c>
      <c r="G144" s="94">
        <f>'FIM IA 2'!N57</f>
        <v>5.23</v>
      </c>
      <c r="H144" s="93" t="str">
        <f>'FIM IA 2'!L57</f>
        <v>BBB+</v>
      </c>
      <c r="I144" s="94">
        <f>(C144-Daten!$E$49)/365</f>
        <v>6.1643835616438354</v>
      </c>
      <c r="J144" s="82">
        <f t="shared" si="5"/>
        <v>8</v>
      </c>
      <c r="K144" s="94">
        <f t="shared" si="6"/>
        <v>7</v>
      </c>
      <c r="L144" s="90"/>
      <c r="M144" s="90"/>
      <c r="N144" s="104" t="str">
        <v>LLOYDS BANKING GROUP PLC</v>
      </c>
      <c r="O144" s="98">
        <v>3.9602788242820708E-3</v>
      </c>
      <c r="P144" s="93" t="str">
        <v>2028-11-07</v>
      </c>
      <c r="Q144" s="93">
        <v>3.5699999999999996E-2</v>
      </c>
      <c r="R144" s="93">
        <v>4.1799999999999997E-2</v>
      </c>
      <c r="S144" s="93">
        <v>1.32E-2</v>
      </c>
      <c r="T144" s="94">
        <v>2.92</v>
      </c>
      <c r="U144" s="93" t="str">
        <v>BBB+</v>
      </c>
      <c r="V144" s="93">
        <v>2.9753424657534246</v>
      </c>
      <c r="W144" s="94">
        <v>8</v>
      </c>
      <c r="X144" s="104">
        <v>34</v>
      </c>
      <c r="Y144" s="90"/>
      <c r="Z144" s="101" t="str">
        <v>INDONESIA (REPUBLIC OF)</v>
      </c>
      <c r="AA144" s="93">
        <v>6.3986592832978584E-3</v>
      </c>
      <c r="AB144" s="93" t="str">
        <v>2028-01-11</v>
      </c>
      <c r="AC144" s="93">
        <v>4.5499999999999999E-2</v>
      </c>
      <c r="AD144" s="93">
        <v>4.1500000000000002E-2</v>
      </c>
      <c r="AE144" s="93">
        <v>7.1000000000000004E-3</v>
      </c>
      <c r="AF144" s="94">
        <v>2.2000000000000002</v>
      </c>
      <c r="AG144" s="93" t="str">
        <v>BBB</v>
      </c>
      <c r="AH144" s="94">
        <v>2.1506849315068495</v>
      </c>
      <c r="AI144" s="82">
        <v>9</v>
      </c>
      <c r="AJ144" s="82">
        <v>8</v>
      </c>
    </row>
    <row r="145" spans="1:36" x14ac:dyDescent="0.45">
      <c r="A145" s="82" t="str">
        <v>PHILLIPS 66 CO</v>
      </c>
      <c r="B145" s="93">
        <v>3.2586291473273299E-3</v>
      </c>
      <c r="C145" s="93" t="str">
        <f>'FIM IA 2'!I58</f>
        <v>2035-03-15</v>
      </c>
      <c r="D145" s="93">
        <f>'FIM IA 2'!J58/100</f>
        <v>4.9500000000000002E-2</v>
      </c>
      <c r="E145" s="93">
        <f>'FIM IA 2'!K58</f>
        <v>5.0299999999999997E-2</v>
      </c>
      <c r="F145" s="93">
        <f>'FIM IA 2'!M58</f>
        <v>1.24E-2</v>
      </c>
      <c r="G145" s="94">
        <f>'FIM IA 2'!N58</f>
        <v>7.34</v>
      </c>
      <c r="H145" s="93" t="str">
        <f>'FIM IA 2'!L58</f>
        <v>BBB+</v>
      </c>
      <c r="I145" s="94">
        <f>(C145-Daten!$E$49)/365</f>
        <v>9.3287671232876708</v>
      </c>
      <c r="J145" s="82">
        <f t="shared" si="5"/>
        <v>8</v>
      </c>
      <c r="K145" s="94">
        <f t="shared" si="6"/>
        <v>38</v>
      </c>
      <c r="L145" s="90"/>
      <c r="M145" s="90"/>
      <c r="N145" s="104" t="str">
        <v>TREASURY NOTE</v>
      </c>
      <c r="O145" s="98">
        <v>3.9038730355509532E-3</v>
      </c>
      <c r="P145" s="93" t="str">
        <v>2028-08-15</v>
      </c>
      <c r="Q145" s="93">
        <v>2.8799999999999999E-2</v>
      </c>
      <c r="R145" s="93">
        <v>3.5000000000000003E-2</v>
      </c>
      <c r="S145" s="93">
        <v>6.9999999999999999E-4</v>
      </c>
      <c r="T145" s="94">
        <v>2.79</v>
      </c>
      <c r="U145" s="93" t="str">
        <v>AA+</v>
      </c>
      <c r="V145" s="93">
        <v>2.7452054794520548</v>
      </c>
      <c r="W145" s="94">
        <v>2</v>
      </c>
      <c r="X145" s="104">
        <v>35</v>
      </c>
      <c r="Y145" s="90"/>
      <c r="Z145" s="101" t="str">
        <v>INTEL CORPORATION</v>
      </c>
      <c r="AA145" s="93">
        <v>1.8761157214852719E-3</v>
      </c>
      <c r="AB145" s="93" t="str">
        <v>2033-02-10</v>
      </c>
      <c r="AC145" s="93">
        <v>5.2000000000000005E-2</v>
      </c>
      <c r="AD145" s="93">
        <v>4.9399999999999999E-2</v>
      </c>
      <c r="AE145" s="93">
        <v>1.2999999999999999E-2</v>
      </c>
      <c r="AF145" s="94">
        <v>6.1</v>
      </c>
      <c r="AG145" s="93" t="str">
        <v>BBB</v>
      </c>
      <c r="AH145" s="94">
        <v>7.2383561643835614</v>
      </c>
      <c r="AI145" s="82">
        <v>9</v>
      </c>
      <c r="AJ145" s="82">
        <v>43</v>
      </c>
    </row>
    <row r="146" spans="1:36" x14ac:dyDescent="0.45">
      <c r="A146" s="82" t="str">
        <v>ROYAL BANK OF CANADA MTN</v>
      </c>
      <c r="B146" s="93">
        <v>3.3523638041605963E-3</v>
      </c>
      <c r="C146" s="93" t="str">
        <f>'FIM IA 2'!I59</f>
        <v>2033-05-02</v>
      </c>
      <c r="D146" s="93">
        <f>'FIM IA 2'!J59/100</f>
        <v>0.05</v>
      </c>
      <c r="E146" s="93">
        <f>'FIM IA 2'!K59</f>
        <v>4.48E-2</v>
      </c>
      <c r="F146" s="93">
        <f>'FIM IA 2'!M59</f>
        <v>8.0999999999999996E-3</v>
      </c>
      <c r="G146" s="94">
        <f>'FIM IA 2'!N59</f>
        <v>6.24</v>
      </c>
      <c r="H146" s="93" t="str">
        <f>'FIM IA 2'!L59</f>
        <v>AA-</v>
      </c>
      <c r="I146" s="94">
        <f>(C146-Daten!$E$49)/365</f>
        <v>7.4602739726027396</v>
      </c>
      <c r="J146" s="82">
        <f t="shared" si="5"/>
        <v>4</v>
      </c>
      <c r="K146" s="94">
        <f t="shared" si="6"/>
        <v>37</v>
      </c>
      <c r="L146" s="90"/>
      <c r="M146" s="90"/>
      <c r="N146" s="104" t="str">
        <v>CITIGROUP INC</v>
      </c>
      <c r="O146" s="98">
        <v>3.8123478607758887E-3</v>
      </c>
      <c r="P146" s="93" t="str">
        <v>2028-07-25</v>
      </c>
      <c r="Q146" s="93">
        <v>4.1299999999999996E-2</v>
      </c>
      <c r="R146" s="93">
        <v>4.0999999999999898E-2</v>
      </c>
      <c r="S146" s="93">
        <v>6.7000000000000002E-3</v>
      </c>
      <c r="T146" s="94">
        <v>2.69</v>
      </c>
      <c r="U146" s="93" t="str">
        <v>BBB+</v>
      </c>
      <c r="V146" s="93">
        <v>2.6876712328767125</v>
      </c>
      <c r="W146" s="94">
        <v>8</v>
      </c>
      <c r="X146" s="104">
        <v>36</v>
      </c>
      <c r="Y146" s="90"/>
      <c r="Z146" s="101" t="str">
        <v>LENOVO GROUP LTD RegS</v>
      </c>
      <c r="AA146" s="93">
        <v>8.1647249934690969E-3</v>
      </c>
      <c r="AB146" s="93" t="str">
        <v>2028-01-27</v>
      </c>
      <c r="AC146" s="93">
        <v>5.8299999999999998E-2</v>
      </c>
      <c r="AD146" s="93">
        <v>4.2900000000000001E-2</v>
      </c>
      <c r="AE146" s="93">
        <v>8.8999999999999999E-3</v>
      </c>
      <c r="AF146" s="94">
        <v>2.21</v>
      </c>
      <c r="AG146" s="93" t="str">
        <v>BBB</v>
      </c>
      <c r="AH146" s="94">
        <v>2.1945205479452055</v>
      </c>
      <c r="AI146" s="82">
        <v>9</v>
      </c>
      <c r="AJ146" s="82">
        <v>4</v>
      </c>
    </row>
    <row r="147" spans="1:36" x14ac:dyDescent="0.45">
      <c r="A147" s="82" t="str">
        <v>SAUDI ARABIAN OIL CO MTN RegS</v>
      </c>
      <c r="B147" s="93">
        <v>1.5653821406467205E-3</v>
      </c>
      <c r="C147" s="93" t="str">
        <f>'FIM IA 2'!I60</f>
        <v>2030-11-24</v>
      </c>
      <c r="D147" s="93">
        <f>'FIM IA 2'!J60/100</f>
        <v>2.2499999999999999E-2</v>
      </c>
      <c r="E147" s="93">
        <f>'FIM IA 2'!K60</f>
        <v>4.3400000000000001E-2</v>
      </c>
      <c r="F147" s="93">
        <f>'FIM IA 2'!M60</f>
        <v>8.2000000000000007E-3</v>
      </c>
      <c r="G147" s="94">
        <f>'FIM IA 2'!N60</f>
        <v>4.8</v>
      </c>
      <c r="H147" s="93" t="str">
        <f>'FIM IA 2'!L60</f>
        <v>A+</v>
      </c>
      <c r="I147" s="94">
        <f>(C147-Daten!$E$49)/365</f>
        <v>5.021917808219178</v>
      </c>
      <c r="J147" s="82">
        <f t="shared" si="5"/>
        <v>5</v>
      </c>
      <c r="K147" s="94">
        <f t="shared" si="6"/>
        <v>46</v>
      </c>
      <c r="L147" s="90"/>
      <c r="M147" s="90"/>
      <c r="N147" s="105" t="str">
        <v>ROYAL BANK OF CANADA MTN</v>
      </c>
      <c r="O147" s="98">
        <v>3.3523638041605963E-3</v>
      </c>
      <c r="P147" s="93" t="str">
        <v>2033-05-02</v>
      </c>
      <c r="Q147" s="93">
        <v>0.05</v>
      </c>
      <c r="R147" s="93">
        <v>4.48E-2</v>
      </c>
      <c r="S147" s="93">
        <v>8.0999999999999996E-3</v>
      </c>
      <c r="T147" s="94">
        <v>6.24</v>
      </c>
      <c r="U147" s="93" t="str">
        <v>AA-</v>
      </c>
      <c r="V147" s="93">
        <v>7.4602739726027396</v>
      </c>
      <c r="W147" s="94">
        <v>4</v>
      </c>
      <c r="X147" s="105">
        <v>37</v>
      </c>
      <c r="Y147" s="90"/>
      <c r="Z147" s="101" t="str">
        <v>MEXICO (UNITED MEXICAN STATES) (GO</v>
      </c>
      <c r="AA147" s="93">
        <v>3.984589565205976E-3</v>
      </c>
      <c r="AB147" s="93" t="str">
        <v>2030-04-16</v>
      </c>
      <c r="AC147" s="93">
        <v>3.2500000000000001E-2</v>
      </c>
      <c r="AD147" s="93">
        <v>4.7300000000000002E-2</v>
      </c>
      <c r="AE147" s="93">
        <v>1.2500000000000001E-2</v>
      </c>
      <c r="AF147" s="94">
        <v>4.16</v>
      </c>
      <c r="AG147" s="93" t="str">
        <v>BBB</v>
      </c>
      <c r="AH147" s="94">
        <v>4.4136986301369863</v>
      </c>
      <c r="AI147" s="82">
        <v>9</v>
      </c>
      <c r="AJ147" s="82">
        <v>33</v>
      </c>
    </row>
    <row r="148" spans="1:36" x14ac:dyDescent="0.45">
      <c r="A148" s="82" t="str">
        <v>SENEGAL (REPUBLIC OF) RegS</v>
      </c>
      <c r="B148" s="93">
        <v>-5.5197151630319352E-2</v>
      </c>
      <c r="C148" s="93" t="str">
        <f>'FIM IA 2'!I61</f>
        <v>2033-05-23</v>
      </c>
      <c r="D148" s="93">
        <f>'FIM IA 2'!J61/100</f>
        <v>6.25E-2</v>
      </c>
      <c r="E148" s="93">
        <f>'FIM IA 2'!K61</f>
        <v>0.1206</v>
      </c>
      <c r="F148" s="93">
        <f>'FIM IA 2'!M61</f>
        <v>8.5300000000000001E-2</v>
      </c>
      <c r="G148" s="94">
        <f>'FIM IA 2'!N61</f>
        <v>4.91</v>
      </c>
      <c r="H148" s="93" t="str">
        <f>'FIM IA 2'!L61</f>
        <v>B+</v>
      </c>
      <c r="I148" s="94">
        <f>(C148-Daten!$E$49)/365</f>
        <v>7.5178082191780824</v>
      </c>
      <c r="J148" s="82">
        <f t="shared" si="5"/>
        <v>14</v>
      </c>
      <c r="K148" s="94">
        <f t="shared" si="6"/>
        <v>50</v>
      </c>
      <c r="L148" s="90"/>
      <c r="M148" s="90"/>
      <c r="N148" s="105" t="str">
        <v>PHILLIPS 66 CO</v>
      </c>
      <c r="O148" s="98">
        <v>3.2586291473273299E-3</v>
      </c>
      <c r="P148" s="93" t="str">
        <v>2035-03-15</v>
      </c>
      <c r="Q148" s="93">
        <v>4.9500000000000002E-2</v>
      </c>
      <c r="R148" s="93">
        <v>5.0299999999999997E-2</v>
      </c>
      <c r="S148" s="93">
        <v>1.24E-2</v>
      </c>
      <c r="T148" s="94">
        <v>7.34</v>
      </c>
      <c r="U148" s="93" t="str">
        <v>BBB+</v>
      </c>
      <c r="V148" s="93">
        <v>9.3287671232876708</v>
      </c>
      <c r="W148" s="94">
        <v>8</v>
      </c>
      <c r="X148" s="105">
        <v>38</v>
      </c>
      <c r="Y148" s="90"/>
      <c r="Z148" s="101" t="str">
        <v>ORACLE CORPORATION</v>
      </c>
      <c r="AA148" s="93">
        <v>-1.344864896019704E-2</v>
      </c>
      <c r="AB148" s="93" t="str">
        <v>2034-07-08</v>
      </c>
      <c r="AC148" s="93">
        <v>4.2999999999999997E-2</v>
      </c>
      <c r="AD148" s="93">
        <v>4.8599999999999997E-2</v>
      </c>
      <c r="AE148" s="93">
        <v>1.09E-2</v>
      </c>
      <c r="AF148" s="94">
        <v>7.19</v>
      </c>
      <c r="AG148" s="93" t="str">
        <v>BBB</v>
      </c>
      <c r="AH148" s="94">
        <v>8.6438356164383556</v>
      </c>
      <c r="AI148" s="82">
        <v>9</v>
      </c>
      <c r="AJ148" s="82">
        <v>49</v>
      </c>
    </row>
    <row r="149" spans="1:36" x14ac:dyDescent="0.45">
      <c r="A149" s="82" t="str">
        <v>SOUTH AFRICA (REPUBLIC OF)</v>
      </c>
      <c r="B149" s="93">
        <v>1.3392691475645702E-2</v>
      </c>
      <c r="C149" s="93" t="str">
        <f>'FIM IA 2'!I62</f>
        <v>2032-04-20</v>
      </c>
      <c r="D149" s="93">
        <f>'FIM IA 2'!J62/100</f>
        <v>5.8799999999999998E-2</v>
      </c>
      <c r="E149" s="93">
        <f>'FIM IA 2'!K62</f>
        <v>5.8799999999999998E-2</v>
      </c>
      <c r="F149" s="93">
        <f>'FIM IA 2'!M62</f>
        <v>2.3099999999999999E-2</v>
      </c>
      <c r="G149" s="94">
        <f>'FIM IA 2'!N62</f>
        <v>5.31</v>
      </c>
      <c r="H149" s="93" t="str">
        <f>'FIM IA 2'!L62</f>
        <v>BB-</v>
      </c>
      <c r="I149" s="94">
        <f>(C149-Daten!$E$49)/365</f>
        <v>6.4273972602739722</v>
      </c>
      <c r="J149" s="82">
        <f t="shared" si="5"/>
        <v>13</v>
      </c>
      <c r="K149" s="94">
        <f t="shared" si="6"/>
        <v>2</v>
      </c>
      <c r="L149" s="90"/>
      <c r="M149" s="90"/>
      <c r="N149" s="105" t="str">
        <v>LOCKHEED MARTIN CORPORATION</v>
      </c>
      <c r="O149" s="98">
        <v>3.1889048514799345E-3</v>
      </c>
      <c r="P149" s="93" t="str">
        <v>2034-02-15</v>
      </c>
      <c r="Q149" s="93">
        <v>4.7500000000000001E-2</v>
      </c>
      <c r="R149" s="93">
        <v>4.5999999999999999E-2</v>
      </c>
      <c r="S149" s="93">
        <v>8.6E-3</v>
      </c>
      <c r="T149" s="94">
        <v>6.89</v>
      </c>
      <c r="U149" s="93" t="str">
        <v>A-</v>
      </c>
      <c r="V149" s="93">
        <v>8.2520547945205482</v>
      </c>
      <c r="W149" s="94">
        <v>7</v>
      </c>
      <c r="X149" s="105">
        <v>39</v>
      </c>
      <c r="Y149" s="90"/>
      <c r="Z149" s="101" t="str">
        <v>PETROLEOS MEXICANOS</v>
      </c>
      <c r="AA149" s="93">
        <v>6.1334884049633054E-3</v>
      </c>
      <c r="AB149" s="93" t="str">
        <v>2060-01-28</v>
      </c>
      <c r="AC149" s="93">
        <v>6.9500000000000006E-2</v>
      </c>
      <c r="AD149" s="93">
        <v>8.6199999999999999E-2</v>
      </c>
      <c r="AE149" s="93">
        <v>4.4400000000000002E-2</v>
      </c>
      <c r="AF149" s="94">
        <v>11.15</v>
      </c>
      <c r="AG149" s="93" t="str">
        <v>BBB</v>
      </c>
      <c r="AH149" s="94">
        <v>34.219178082191782</v>
      </c>
      <c r="AI149" s="82">
        <v>9</v>
      </c>
      <c r="AJ149" s="82">
        <v>11</v>
      </c>
    </row>
    <row r="150" spans="1:36" x14ac:dyDescent="0.45">
      <c r="A150" s="82" t="str">
        <v>STANDARD CHARTERED PLC RegS</v>
      </c>
      <c r="B150" s="93">
        <v>7.5169095873315328E-3</v>
      </c>
      <c r="C150" s="93" t="str">
        <f>'FIM IA 2'!I63</f>
        <v>2030-02-08</v>
      </c>
      <c r="D150" s="93">
        <f>'FIM IA 2'!J63/100</f>
        <v>7.0199999999999999E-2</v>
      </c>
      <c r="E150" s="93">
        <f>'FIM IA 2'!K63</f>
        <v>4.3799999999999999E-2</v>
      </c>
      <c r="F150" s="93">
        <f>'FIM IA 2'!M63</f>
        <v>1.26E-2</v>
      </c>
      <c r="G150" s="94">
        <f>'FIM IA 2'!N63</f>
        <v>3.03</v>
      </c>
      <c r="H150" s="93" t="str">
        <f>'FIM IA 2'!L63</f>
        <v>BBB+</v>
      </c>
      <c r="I150" s="94">
        <f>(C150-Daten!$E$49)/365</f>
        <v>4.2301369863013702</v>
      </c>
      <c r="J150" s="82">
        <f t="shared" si="5"/>
        <v>8</v>
      </c>
      <c r="K150" s="94">
        <f t="shared" si="6"/>
        <v>6</v>
      </c>
      <c r="L150" s="90"/>
      <c r="M150" s="90"/>
      <c r="N150" s="105" t="str">
        <v>BOEING CO</v>
      </c>
      <c r="O150" s="98">
        <v>3.1078073837751408E-3</v>
      </c>
      <c r="P150" s="93" t="str">
        <v>2040-05-01</v>
      </c>
      <c r="Q150" s="93">
        <v>5.7099999999999998E-2</v>
      </c>
      <c r="R150" s="93">
        <v>5.5E-2</v>
      </c>
      <c r="S150" s="93">
        <v>1.4500000000000001E-2</v>
      </c>
      <c r="T150" s="94">
        <v>9.7200000000000006</v>
      </c>
      <c r="U150" s="93" t="str">
        <v>BBB-</v>
      </c>
      <c r="V150" s="93">
        <v>14.463013698630137</v>
      </c>
      <c r="W150" s="94">
        <v>10</v>
      </c>
      <c r="X150" s="105">
        <v>40</v>
      </c>
      <c r="Y150" s="90"/>
      <c r="Z150" s="101" t="str">
        <v>UBER TECHNOLOGIES INC</v>
      </c>
      <c r="AA150" s="93">
        <v>1.7403776386086811E-3</v>
      </c>
      <c r="AB150" s="93" t="str">
        <v>2034-09-15</v>
      </c>
      <c r="AC150" s="93">
        <v>4.8000000000000001E-2</v>
      </c>
      <c r="AD150" s="93">
        <v>4.7899999999999998E-2</v>
      </c>
      <c r="AE150" s="93">
        <v>1.03E-2</v>
      </c>
      <c r="AF150" s="94">
        <v>7.1</v>
      </c>
      <c r="AG150" s="93" t="str">
        <v>BBB</v>
      </c>
      <c r="AH150" s="94">
        <v>8.8328767123287673</v>
      </c>
      <c r="AI150" s="82">
        <v>9</v>
      </c>
      <c r="AJ150" s="82">
        <v>45</v>
      </c>
    </row>
    <row r="151" spans="1:36" x14ac:dyDescent="0.45">
      <c r="A151" s="82" t="str">
        <v>TENCENT HOLDINGS LTD MTN RegS</v>
      </c>
      <c r="B151" s="93">
        <v>4.9230322231303969E-3</v>
      </c>
      <c r="C151" s="93" t="str">
        <f>'FIM IA 2'!I64</f>
        <v>2028-01-19</v>
      </c>
      <c r="D151" s="93">
        <f>'FIM IA 2'!J64/100</f>
        <v>3.6000000000000004E-2</v>
      </c>
      <c r="E151" s="93">
        <f>'FIM IA 2'!K64</f>
        <v>4.0099999999999997E-2</v>
      </c>
      <c r="F151" s="93">
        <f>'FIM IA 2'!M64</f>
        <v>5.5999999999999999E-3</v>
      </c>
      <c r="G151" s="94">
        <f>'FIM IA 2'!N64</f>
        <v>2.2400000000000002</v>
      </c>
      <c r="H151" s="93" t="str">
        <f>'FIM IA 2'!L64</f>
        <v>A+</v>
      </c>
      <c r="I151" s="94">
        <f>(C151-Daten!$E$49)/365</f>
        <v>2.1726027397260275</v>
      </c>
      <c r="J151" s="82">
        <f t="shared" si="5"/>
        <v>5</v>
      </c>
      <c r="K151" s="94">
        <f t="shared" si="6"/>
        <v>25</v>
      </c>
      <c r="L151" s="90"/>
      <c r="M151" s="90"/>
      <c r="N151" s="105" t="str">
        <v>APPLE INC</v>
      </c>
      <c r="O151" s="98">
        <v>2.9658393388294346E-3</v>
      </c>
      <c r="P151" s="93" t="str">
        <v>2027-09-12</v>
      </c>
      <c r="Q151" s="93">
        <v>2.8999999999999998E-2</v>
      </c>
      <c r="R151" s="93">
        <v>3.5999999999999997E-2</v>
      </c>
      <c r="S151" s="93">
        <v>1.4E-3</v>
      </c>
      <c r="T151" s="94">
        <v>1.91</v>
      </c>
      <c r="U151" s="93" t="str">
        <v>AA+</v>
      </c>
      <c r="V151" s="93">
        <v>1.8191780821917809</v>
      </c>
      <c r="W151" s="94">
        <v>2</v>
      </c>
      <c r="X151" s="105">
        <v>41</v>
      </c>
      <c r="Y151" s="90"/>
      <c r="Z151" s="101" t="str">
        <v>BOEING CO</v>
      </c>
      <c r="AA151" s="93">
        <v>3.1078073837751408E-3</v>
      </c>
      <c r="AB151" s="93" t="str">
        <v>2040-05-01</v>
      </c>
      <c r="AC151" s="93">
        <v>5.7099999999999998E-2</v>
      </c>
      <c r="AD151" s="93">
        <v>5.5E-2</v>
      </c>
      <c r="AE151" s="93">
        <v>1.4500000000000001E-2</v>
      </c>
      <c r="AF151" s="94">
        <v>9.7200000000000006</v>
      </c>
      <c r="AG151" s="93" t="str">
        <v>BBB-</v>
      </c>
      <c r="AH151" s="94">
        <v>14.463013698630137</v>
      </c>
      <c r="AI151" s="82">
        <v>10</v>
      </c>
      <c r="AJ151" s="82">
        <v>40</v>
      </c>
    </row>
    <row r="152" spans="1:36" x14ac:dyDescent="0.45">
      <c r="A152" s="82" t="str">
        <v>TREASURY NOTE</v>
      </c>
      <c r="B152" s="93">
        <v>5.9082414896565183E-3</v>
      </c>
      <c r="C152" s="93" t="str">
        <f>'FIM IA 2'!I65</f>
        <v>2035-05-15</v>
      </c>
      <c r="D152" s="93">
        <f>'FIM IA 2'!J65/100</f>
        <v>4.2500000000000003E-2</v>
      </c>
      <c r="E152" s="93">
        <f>'FIM IA 2'!K65</f>
        <v>4.07E-2</v>
      </c>
      <c r="F152" s="93">
        <f>'FIM IA 2'!M65</f>
        <v>2.3E-3</v>
      </c>
      <c r="G152" s="94">
        <f>'FIM IA 2'!N65</f>
        <v>7.8</v>
      </c>
      <c r="H152" s="93" t="str">
        <f>'FIM IA 2'!L65</f>
        <v>AA+</v>
      </c>
      <c r="I152" s="94">
        <f>(C152-Daten!$E$49)/365</f>
        <v>9.4958904109589035</v>
      </c>
      <c r="J152" s="82">
        <f t="shared" si="5"/>
        <v>2</v>
      </c>
      <c r="K152" s="94">
        <f t="shared" si="6"/>
        <v>14</v>
      </c>
      <c r="L152" s="90"/>
      <c r="M152" s="90"/>
      <c r="N152" s="105" t="str">
        <v>METLIFE INC</v>
      </c>
      <c r="O152" s="98">
        <v>2.6517724473646975E-3</v>
      </c>
      <c r="P152" s="93" t="str">
        <v>2035-06-15</v>
      </c>
      <c r="Q152" s="93">
        <v>5.7000000000000002E-2</v>
      </c>
      <c r="R152" s="93">
        <v>4.7599999999999899E-2</v>
      </c>
      <c r="S152" s="93">
        <v>9.5999999999999992E-3</v>
      </c>
      <c r="T152" s="94">
        <v>7.45</v>
      </c>
      <c r="U152" s="93" t="str">
        <v>A</v>
      </c>
      <c r="V152" s="93">
        <v>9.580821917808219</v>
      </c>
      <c r="W152" s="94">
        <v>6</v>
      </c>
      <c r="X152" s="105">
        <v>42</v>
      </c>
      <c r="Y152" s="90"/>
      <c r="Z152" s="101" t="str">
        <v>DELTA AIR LINES INC</v>
      </c>
      <c r="AA152" s="93">
        <v>4.1354866207587992E-3</v>
      </c>
      <c r="AB152" s="93" t="str">
        <v>2028-04-19</v>
      </c>
      <c r="AC152" s="93">
        <v>4.3799999999999999E-2</v>
      </c>
      <c r="AD152" s="93">
        <v>4.2799999999999998E-2</v>
      </c>
      <c r="AE152" s="93">
        <v>8.3999999999999995E-3</v>
      </c>
      <c r="AF152" s="94">
        <v>2.41</v>
      </c>
      <c r="AG152" s="93" t="str">
        <v>BBB-</v>
      </c>
      <c r="AH152" s="94">
        <v>2.4219178082191779</v>
      </c>
      <c r="AI152" s="82">
        <v>10</v>
      </c>
      <c r="AJ152" s="82">
        <v>31</v>
      </c>
    </row>
    <row r="153" spans="1:36" x14ac:dyDescent="0.45">
      <c r="A153" s="82" t="str">
        <v>TREASURY NOTE</v>
      </c>
      <c r="B153" s="93">
        <v>5.6360442522385146E-3</v>
      </c>
      <c r="C153" s="93" t="str">
        <f>'FIM IA 2'!I66</f>
        <v>2034-08-15</v>
      </c>
      <c r="D153" s="93">
        <f>'FIM IA 2'!J66/100</f>
        <v>3.8800000000000001E-2</v>
      </c>
      <c r="E153" s="93">
        <f>'FIM IA 2'!K66</f>
        <v>0.04</v>
      </c>
      <c r="F153" s="93">
        <f>'FIM IA 2'!M66</f>
        <v>2E-3</v>
      </c>
      <c r="G153" s="94">
        <f>'FIM IA 2'!N66</f>
        <v>7.47</v>
      </c>
      <c r="H153" s="93" t="str">
        <f>'FIM IA 2'!L66</f>
        <v>AA+</v>
      </c>
      <c r="I153" s="94">
        <f>(C153-Daten!$E$49)/365</f>
        <v>8.7479452054794518</v>
      </c>
      <c r="J153" s="82">
        <f t="shared" si="5"/>
        <v>2</v>
      </c>
      <c r="K153" s="94">
        <f t="shared" si="6"/>
        <v>17</v>
      </c>
      <c r="L153" s="90"/>
      <c r="M153" s="90"/>
      <c r="N153" s="105" t="str">
        <v>INTEL CORPORATION</v>
      </c>
      <c r="O153" s="98">
        <v>1.8761157214852719E-3</v>
      </c>
      <c r="P153" s="93" t="str">
        <v>2033-02-10</v>
      </c>
      <c r="Q153" s="93">
        <v>5.2000000000000005E-2</v>
      </c>
      <c r="R153" s="93">
        <v>4.9399999999999999E-2</v>
      </c>
      <c r="S153" s="93">
        <v>1.2999999999999999E-2</v>
      </c>
      <c r="T153" s="94">
        <v>6.1</v>
      </c>
      <c r="U153" s="93" t="str">
        <v>BBB</v>
      </c>
      <c r="V153" s="93">
        <v>7.2383561643835614</v>
      </c>
      <c r="W153" s="94">
        <v>9</v>
      </c>
      <c r="X153" s="105">
        <v>43</v>
      </c>
      <c r="Y153" s="90"/>
      <c r="Z153" s="101" t="str">
        <v>FORD MOTOR COMPANY</v>
      </c>
      <c r="AA153" s="93">
        <v>9.5657400052018282E-4</v>
      </c>
      <c r="AB153" s="93" t="str">
        <v>2032-02-12</v>
      </c>
      <c r="AC153" s="93">
        <v>3.2500000000000001E-2</v>
      </c>
      <c r="AD153" s="93">
        <v>5.7500000000000002E-2</v>
      </c>
      <c r="AE153" s="93">
        <v>2.1499999999999998E-2</v>
      </c>
      <c r="AF153" s="94">
        <v>5.63</v>
      </c>
      <c r="AG153" s="93" t="str">
        <v>BBB-</v>
      </c>
      <c r="AH153" s="94">
        <v>6.2410958904109588</v>
      </c>
      <c r="AI153" s="82">
        <v>10</v>
      </c>
      <c r="AJ153" s="82">
        <v>47</v>
      </c>
    </row>
    <row r="154" spans="1:36" x14ac:dyDescent="0.45">
      <c r="A154" s="82" t="str">
        <v>TREASURY NOTE</v>
      </c>
      <c r="B154" s="93">
        <v>5.5815536570622548E-3</v>
      </c>
      <c r="C154" s="93" t="str">
        <f>'FIM IA 2'!I67</f>
        <v>2033-08-15</v>
      </c>
      <c r="D154" s="93">
        <f>'FIM IA 2'!J67/100</f>
        <v>3.8800000000000001E-2</v>
      </c>
      <c r="E154" s="93">
        <f>'FIM IA 2'!K67</f>
        <v>3.9E-2</v>
      </c>
      <c r="F154" s="93">
        <f>'FIM IA 2'!M67</f>
        <v>1.6999999999999999E-3</v>
      </c>
      <c r="G154" s="94">
        <f>'FIM IA 2'!N67</f>
        <v>6.76</v>
      </c>
      <c r="H154" s="93" t="str">
        <f>'FIM IA 2'!L67</f>
        <v>AA+</v>
      </c>
      <c r="I154" s="94">
        <f>(C154-Daten!$E$49)/365</f>
        <v>7.7479452054794518</v>
      </c>
      <c r="J154" s="82">
        <f t="shared" si="5"/>
        <v>2</v>
      </c>
      <c r="K154" s="94">
        <f t="shared" si="6"/>
        <v>18</v>
      </c>
      <c r="L154" s="90"/>
      <c r="M154" s="90"/>
      <c r="N154" s="105" t="str">
        <v>BAHRAIN (KINGDOM OF) MTN RegS</v>
      </c>
      <c r="O154" s="98">
        <v>1.7644277164960975E-3</v>
      </c>
      <c r="P154" s="93" t="str">
        <v>2031-09-30</v>
      </c>
      <c r="Q154" s="93">
        <v>5.6299999999999996E-2</v>
      </c>
      <c r="R154" s="93">
        <v>5.7500000000000002E-2</v>
      </c>
      <c r="S154" s="93">
        <v>2.2200000000000001E-2</v>
      </c>
      <c r="T154" s="94">
        <v>4.96</v>
      </c>
      <c r="U154" s="93" t="str">
        <v>B+</v>
      </c>
      <c r="V154" s="93">
        <v>5.8712328767123285</v>
      </c>
      <c r="W154" s="94">
        <v>14</v>
      </c>
      <c r="X154" s="105">
        <v>44</v>
      </c>
      <c r="Y154" s="90"/>
      <c r="Z154" s="101" t="str">
        <v>OIL INDIA LTD RegS</v>
      </c>
      <c r="AA154" s="93">
        <v>6.1094254612219512E-3</v>
      </c>
      <c r="AB154" s="93" t="str">
        <v>2029-02-04</v>
      </c>
      <c r="AC154" s="93">
        <v>5.1299999999999998E-2</v>
      </c>
      <c r="AD154" s="93">
        <v>4.3799999999999999E-2</v>
      </c>
      <c r="AE154" s="93">
        <v>9.5999999999999992E-3</v>
      </c>
      <c r="AF154" s="94">
        <v>3.1</v>
      </c>
      <c r="AG154" s="93" t="str">
        <v>BBB-</v>
      </c>
      <c r="AH154" s="94">
        <v>3.2191780821917808</v>
      </c>
      <c r="AI154" s="82">
        <v>10</v>
      </c>
      <c r="AJ154" s="82">
        <v>12</v>
      </c>
    </row>
    <row r="155" spans="1:36" x14ac:dyDescent="0.45">
      <c r="A155" s="82" t="str">
        <v>TREASURY NOTE</v>
      </c>
      <c r="B155" s="93">
        <v>4.1164160776767655E-3</v>
      </c>
      <c r="C155" s="93" t="str">
        <f>'FIM IA 2'!I68</f>
        <v>2031-08-15</v>
      </c>
      <c r="D155" s="93">
        <f>'FIM IA 2'!J68/100</f>
        <v>1.2500000000000001E-2</v>
      </c>
      <c r="E155" s="93">
        <f>'FIM IA 2'!K68</f>
        <v>3.7100000000000001E-2</v>
      </c>
      <c r="F155" s="93">
        <f>'FIM IA 2'!M68</f>
        <v>1.1000000000000001E-3</v>
      </c>
      <c r="G155" s="94">
        <f>'FIM IA 2'!N68</f>
        <v>5.62</v>
      </c>
      <c r="H155" s="93" t="str">
        <f>'FIM IA 2'!L68</f>
        <v>AA+</v>
      </c>
      <c r="I155" s="94">
        <f>(C155-Daten!$E$49)/365</f>
        <v>5.7452054794520544</v>
      </c>
      <c r="J155" s="82">
        <f t="shared" si="5"/>
        <v>2</v>
      </c>
      <c r="K155" s="94">
        <f t="shared" si="6"/>
        <v>32</v>
      </c>
      <c r="L155" s="90"/>
      <c r="M155" s="90"/>
      <c r="N155" s="105" t="str">
        <v>UBER TECHNOLOGIES INC</v>
      </c>
      <c r="O155" s="98">
        <v>1.7403776386086811E-3</v>
      </c>
      <c r="P155" s="93" t="str">
        <v>2034-09-15</v>
      </c>
      <c r="Q155" s="93">
        <v>4.8000000000000001E-2</v>
      </c>
      <c r="R155" s="93">
        <v>4.7899999999999998E-2</v>
      </c>
      <c r="S155" s="93">
        <v>1.03E-2</v>
      </c>
      <c r="T155" s="94">
        <v>7.1</v>
      </c>
      <c r="U155" s="93" t="str">
        <v>BBB</v>
      </c>
      <c r="V155" s="93">
        <v>8.8328767123287673</v>
      </c>
      <c r="W155" s="94">
        <v>9</v>
      </c>
      <c r="X155" s="105">
        <v>45</v>
      </c>
      <c r="Y155" s="90"/>
      <c r="Z155" s="102" t="str">
        <v>OCCIDENTAL PETROLEUM CORPORATION</v>
      </c>
      <c r="AA155" s="93">
        <v>7.6830373608915981E-3</v>
      </c>
      <c r="AB155" s="93" t="str">
        <v>2030-09-01</v>
      </c>
      <c r="AC155" s="93">
        <v>6.6299999999999998E-2</v>
      </c>
      <c r="AD155" s="93">
        <v>4.8799999999999899E-2</v>
      </c>
      <c r="AE155" s="93">
        <v>1.54E-2</v>
      </c>
      <c r="AF155" s="94">
        <v>4.25</v>
      </c>
      <c r="AG155" s="93" t="str">
        <v>BB+</v>
      </c>
      <c r="AH155" s="94">
        <v>4.7917808219178086</v>
      </c>
      <c r="AI155" s="82">
        <v>11</v>
      </c>
      <c r="AJ155" s="82">
        <v>5</v>
      </c>
    </row>
    <row r="156" spans="1:36" x14ac:dyDescent="0.45">
      <c r="A156" s="82" t="str">
        <v>TREASURY NOTE</v>
      </c>
      <c r="B156" s="93">
        <v>5.0362868285867002E-3</v>
      </c>
      <c r="C156" s="93" t="str">
        <f>'FIM IA 2'!I69</f>
        <v>2029-06-30</v>
      </c>
      <c r="D156" s="93">
        <f>'FIM IA 2'!J69/100</f>
        <v>4.2500000000000003E-2</v>
      </c>
      <c r="E156" s="93">
        <f>'FIM IA 2'!K69</f>
        <v>3.5400000000000001E-2</v>
      </c>
      <c r="F156" s="93">
        <f>'FIM IA 2'!M69</f>
        <v>8.9999999999999998E-4</v>
      </c>
      <c r="G156" s="94">
        <f>'FIM IA 2'!N69</f>
        <v>3.48</v>
      </c>
      <c r="H156" s="93" t="str">
        <f>'FIM IA 2'!L69</f>
        <v>AA+</v>
      </c>
      <c r="I156" s="94">
        <f>(C156-Daten!$E$49)/365</f>
        <v>3.6191780821917807</v>
      </c>
      <c r="J156" s="82">
        <f t="shared" si="5"/>
        <v>2</v>
      </c>
      <c r="K156" s="94">
        <f t="shared" si="6"/>
        <v>23</v>
      </c>
      <c r="L156" s="90"/>
      <c r="M156" s="90"/>
      <c r="N156" s="105" t="str">
        <v>SAUDI ARABIAN OIL CO MTN RegS</v>
      </c>
      <c r="O156" s="98">
        <v>1.5653821406467205E-3</v>
      </c>
      <c r="P156" s="93" t="str">
        <v>2030-11-24</v>
      </c>
      <c r="Q156" s="93">
        <v>2.2499999999999999E-2</v>
      </c>
      <c r="R156" s="93">
        <v>4.3400000000000001E-2</v>
      </c>
      <c r="S156" s="93">
        <v>8.2000000000000007E-3</v>
      </c>
      <c r="T156" s="94">
        <v>4.8</v>
      </c>
      <c r="U156" s="93" t="str">
        <v>A+</v>
      </c>
      <c r="V156" s="93">
        <v>5.021917808219178</v>
      </c>
      <c r="W156" s="94">
        <v>5</v>
      </c>
      <c r="X156" s="105">
        <v>46</v>
      </c>
      <c r="Y156" s="90"/>
      <c r="Z156" s="102" t="str">
        <v>SOUTH AFRICA (REPUBLIC OF)</v>
      </c>
      <c r="AA156" s="93">
        <v>1.3392691475645702E-2</v>
      </c>
      <c r="AB156" s="93" t="str">
        <v>2032-04-20</v>
      </c>
      <c r="AC156" s="93">
        <v>5.8799999999999998E-2</v>
      </c>
      <c r="AD156" s="93">
        <v>5.8799999999999998E-2</v>
      </c>
      <c r="AE156" s="93">
        <v>2.3099999999999999E-2</v>
      </c>
      <c r="AF156" s="94">
        <v>5.31</v>
      </c>
      <c r="AG156" s="93" t="str">
        <v>BB-</v>
      </c>
      <c r="AH156" s="94">
        <v>6.4273972602739722</v>
      </c>
      <c r="AI156" s="82">
        <v>13</v>
      </c>
      <c r="AJ156" s="82">
        <v>2</v>
      </c>
    </row>
    <row r="157" spans="1:36" x14ac:dyDescent="0.45">
      <c r="A157" s="82" t="str">
        <v>TREASURY NOTE</v>
      </c>
      <c r="B157" s="93">
        <v>6.1615376952215417E-3</v>
      </c>
      <c r="C157" s="93" t="str">
        <f>'FIM IA 2'!I70</f>
        <v>2028-10-31</v>
      </c>
      <c r="D157" s="93">
        <f>'FIM IA 2'!J70/100</f>
        <v>4.8799999999999996E-2</v>
      </c>
      <c r="E157" s="93">
        <f>'FIM IA 2'!K70</f>
        <v>3.5099999999999999E-2</v>
      </c>
      <c r="F157" s="93">
        <f>'FIM IA 2'!M70</f>
        <v>8.9999999999999998E-4</v>
      </c>
      <c r="G157" s="94">
        <f>'FIM IA 2'!N70</f>
        <v>2.87</v>
      </c>
      <c r="H157" s="93" t="str">
        <f>'FIM IA 2'!L70</f>
        <v>AA+</v>
      </c>
      <c r="I157" s="94">
        <f>(C157-Daten!$E$49)/365</f>
        <v>2.956164383561644</v>
      </c>
      <c r="J157" s="82">
        <f t="shared" si="5"/>
        <v>2</v>
      </c>
      <c r="K157" s="94">
        <f t="shared" si="6"/>
        <v>10</v>
      </c>
      <c r="L157" s="90"/>
      <c r="M157" s="90"/>
      <c r="N157" s="105" t="str">
        <v>FORD MOTOR COMPANY</v>
      </c>
      <c r="O157" s="98">
        <v>9.5657400052018282E-4</v>
      </c>
      <c r="P157" s="93" t="str">
        <v>2032-02-12</v>
      </c>
      <c r="Q157" s="93">
        <v>3.2500000000000001E-2</v>
      </c>
      <c r="R157" s="93">
        <v>5.7500000000000002E-2</v>
      </c>
      <c r="S157" s="93">
        <v>2.1499999999999998E-2</v>
      </c>
      <c r="T157" s="94">
        <v>5.63</v>
      </c>
      <c r="U157" s="93" t="str">
        <v>BBB-</v>
      </c>
      <c r="V157" s="93">
        <v>6.2410958904109588</v>
      </c>
      <c r="W157" s="94">
        <v>10</v>
      </c>
      <c r="X157" s="105">
        <v>47</v>
      </c>
      <c r="Y157" s="90"/>
      <c r="Z157" s="102" t="str">
        <v>BAHRAIN (KINGDOM OF) MTN RegS</v>
      </c>
      <c r="AA157" s="93">
        <v>1.7644277164960975E-3</v>
      </c>
      <c r="AB157" s="93" t="str">
        <v>2031-09-30</v>
      </c>
      <c r="AC157" s="93">
        <v>5.6299999999999996E-2</v>
      </c>
      <c r="AD157" s="93">
        <v>5.7500000000000002E-2</v>
      </c>
      <c r="AE157" s="93">
        <v>2.2200000000000001E-2</v>
      </c>
      <c r="AF157" s="94">
        <v>4.96</v>
      </c>
      <c r="AG157" s="93" t="str">
        <v>B+</v>
      </c>
      <c r="AH157" s="94">
        <v>5.8712328767123285</v>
      </c>
      <c r="AI157" s="82">
        <v>14</v>
      </c>
      <c r="AJ157" s="82">
        <v>44</v>
      </c>
    </row>
    <row r="158" spans="1:36" x14ac:dyDescent="0.45">
      <c r="A158" s="82" t="str">
        <v>TREASURY NOTE</v>
      </c>
      <c r="B158" s="93">
        <v>3.9038730355509532E-3</v>
      </c>
      <c r="C158" s="93" t="str">
        <f>'FIM IA 2'!I71</f>
        <v>2028-08-15</v>
      </c>
      <c r="D158" s="93">
        <f>'FIM IA 2'!J71/100</f>
        <v>2.8799999999999999E-2</v>
      </c>
      <c r="E158" s="93">
        <f>'FIM IA 2'!K71</f>
        <v>3.5000000000000003E-2</v>
      </c>
      <c r="F158" s="93">
        <f>'FIM IA 2'!M71</f>
        <v>6.9999999999999999E-4</v>
      </c>
      <c r="G158" s="94">
        <f>'FIM IA 2'!N71</f>
        <v>2.79</v>
      </c>
      <c r="H158" s="93" t="str">
        <f>'FIM IA 2'!L71</f>
        <v>AA+</v>
      </c>
      <c r="I158" s="94">
        <f>(C158-Daten!$E$49)/365</f>
        <v>2.7452054794520548</v>
      </c>
      <c r="J158" s="82">
        <f t="shared" si="5"/>
        <v>2</v>
      </c>
      <c r="K158" s="94">
        <f t="shared" si="6"/>
        <v>35</v>
      </c>
      <c r="L158" s="90"/>
      <c r="M158" s="90"/>
      <c r="N158" s="105" t="str">
        <v>META PLATFORMS INC</v>
      </c>
      <c r="O158" s="98">
        <v>-1.1534000762003505E-4</v>
      </c>
      <c r="P158" s="93" t="str">
        <v>2032-08-15</v>
      </c>
      <c r="Q158" s="93">
        <v>3.85E-2</v>
      </c>
      <c r="R158" s="93">
        <v>4.2299999999999997E-2</v>
      </c>
      <c r="S158" s="93">
        <v>5.8999999999999999E-3</v>
      </c>
      <c r="T158" s="94">
        <v>6.01</v>
      </c>
      <c r="U158" s="93" t="str">
        <v>AA-</v>
      </c>
      <c r="V158" s="93">
        <v>6.7479452054794518</v>
      </c>
      <c r="W158" s="94">
        <v>4</v>
      </c>
      <c r="X158" s="105">
        <v>48</v>
      </c>
      <c r="Y158" s="90"/>
      <c r="Z158" s="102" t="str">
        <v>SENEGAL (REPUBLIC OF) RegS</v>
      </c>
      <c r="AA158" s="93">
        <v>-5.5197151630319352E-2</v>
      </c>
      <c r="AB158" s="93" t="str">
        <v>2033-05-23</v>
      </c>
      <c r="AC158" s="93">
        <v>6.25E-2</v>
      </c>
      <c r="AD158" s="93">
        <v>0.1206</v>
      </c>
      <c r="AE158" s="93">
        <v>8.5300000000000001E-2</v>
      </c>
      <c r="AF158" s="94">
        <v>4.91</v>
      </c>
      <c r="AG158" s="93" t="str">
        <v>B+</v>
      </c>
      <c r="AH158" s="94">
        <v>7.5178082191780824</v>
      </c>
      <c r="AI158" s="82">
        <v>14</v>
      </c>
      <c r="AJ158" s="82">
        <v>50</v>
      </c>
    </row>
    <row r="159" spans="1:36" x14ac:dyDescent="0.45">
      <c r="A159" s="82" t="str">
        <v>UBER TECHNOLOGIES INC</v>
      </c>
      <c r="B159" s="93">
        <v>1.7403776386086811E-3</v>
      </c>
      <c r="C159" s="93" t="str">
        <f>'FIM IA 2'!I72</f>
        <v>2034-09-15</v>
      </c>
      <c r="D159" s="93">
        <f>'FIM IA 2'!J72/100</f>
        <v>4.8000000000000001E-2</v>
      </c>
      <c r="E159" s="93">
        <f>'FIM IA 2'!K72</f>
        <v>4.7899999999999998E-2</v>
      </c>
      <c r="F159" s="93">
        <f>'FIM IA 2'!M72</f>
        <v>1.03E-2</v>
      </c>
      <c r="G159" s="94">
        <f>'FIM IA 2'!N72</f>
        <v>7.1</v>
      </c>
      <c r="H159" s="93" t="str">
        <f>'FIM IA 2'!L72</f>
        <v>BBB</v>
      </c>
      <c r="I159" s="94">
        <f>(C159-Daten!$E$49)/365</f>
        <v>8.8328767123287673</v>
      </c>
      <c r="J159" s="82">
        <f t="shared" si="5"/>
        <v>9</v>
      </c>
      <c r="K159" s="94">
        <f t="shared" si="6"/>
        <v>45</v>
      </c>
      <c r="L159" s="90"/>
      <c r="M159" s="90"/>
      <c r="N159" s="105" t="str">
        <v>ORACLE CORPORATION</v>
      </c>
      <c r="O159" s="98">
        <v>-1.344864896019704E-2</v>
      </c>
      <c r="P159" s="93" t="str">
        <v>2034-07-08</v>
      </c>
      <c r="Q159" s="93">
        <v>4.2999999999999997E-2</v>
      </c>
      <c r="R159" s="93">
        <v>4.8599999999999997E-2</v>
      </c>
      <c r="S159" s="93">
        <v>1.09E-2</v>
      </c>
      <c r="T159" s="94">
        <v>7.19</v>
      </c>
      <c r="U159" s="93" t="str">
        <v>BBB</v>
      </c>
      <c r="V159" s="93">
        <v>8.6438356164383556</v>
      </c>
      <c r="W159" s="94">
        <v>9</v>
      </c>
      <c r="X159" s="105">
        <v>49</v>
      </c>
      <c r="Y159" s="90"/>
      <c r="Z159" s="102" t="str">
        <v>EGYPT (ARAB REPUBLIC OF) MTN RegS</v>
      </c>
      <c r="AA159" s="93">
        <v>2.3765030462250092E-2</v>
      </c>
      <c r="AB159" s="93" t="str">
        <v>2032-01-15</v>
      </c>
      <c r="AC159" s="93">
        <v>7.0499999999999993E-2</v>
      </c>
      <c r="AD159" s="93">
        <v>8.2500000000000004E-2</v>
      </c>
      <c r="AE159" s="93">
        <v>4.7199999999999999E-2</v>
      </c>
      <c r="AF159" s="94">
        <v>4.9400000000000004</v>
      </c>
      <c r="AG159" s="93" t="str">
        <v>B-</v>
      </c>
      <c r="AH159" s="94">
        <v>6.1643835616438354</v>
      </c>
      <c r="AI159" s="82">
        <v>16</v>
      </c>
      <c r="AJ159" s="82">
        <v>1</v>
      </c>
    </row>
    <row r="160" spans="1:36" x14ac:dyDescent="0.45">
      <c r="A160" s="82" t="str">
        <v>WESTPAC BANKING CORP</v>
      </c>
      <c r="B160" s="93">
        <v>4.4004886860804504E-3</v>
      </c>
      <c r="C160" s="93" t="str">
        <f>'FIM IA 2'!I73</f>
        <v>2027-08-26</v>
      </c>
      <c r="D160" s="93">
        <f>'FIM IA 2'!J73/100</f>
        <v>4.0399999999999998E-2</v>
      </c>
      <c r="E160" s="93">
        <f>'FIM IA 2'!K73</f>
        <v>3.7599999999999897E-2</v>
      </c>
      <c r="F160" s="93">
        <f>'FIM IA 2'!M73</f>
        <v>3.0000000000000001E-3</v>
      </c>
      <c r="G160" s="94">
        <f>'FIM IA 2'!N73</f>
        <v>1.88</v>
      </c>
      <c r="H160" s="93" t="str">
        <f>'FIM IA 2'!L73</f>
        <v>AA-</v>
      </c>
      <c r="I160" s="94">
        <f>(C160-Daten!$E$49)/365</f>
        <v>1.7726027397260273</v>
      </c>
      <c r="J160" s="82">
        <f t="shared" si="5"/>
        <v>4</v>
      </c>
      <c r="K160" s="94">
        <f t="shared" si="6"/>
        <v>28</v>
      </c>
      <c r="L160" s="90"/>
      <c r="M160" s="90"/>
      <c r="N160" s="105" t="str">
        <v>SENEGAL (REPUBLIC OF) RegS</v>
      </c>
      <c r="O160" s="98">
        <v>-5.5197151630319352E-2</v>
      </c>
      <c r="P160" s="93" t="str">
        <v>2033-05-23</v>
      </c>
      <c r="Q160" s="93">
        <v>6.25E-2</v>
      </c>
      <c r="R160" s="93">
        <v>0.1206</v>
      </c>
      <c r="S160" s="93">
        <v>8.5300000000000001E-2</v>
      </c>
      <c r="T160" s="94">
        <v>4.91</v>
      </c>
      <c r="U160" s="93" t="str">
        <v>B+</v>
      </c>
      <c r="V160" s="93">
        <v>7.5178082191780824</v>
      </c>
      <c r="W160" s="94">
        <v>14</v>
      </c>
      <c r="X160" s="105">
        <v>50</v>
      </c>
      <c r="Y160" s="90"/>
      <c r="Z160" s="102" t="str">
        <v>PAKISTAN (ISLAMIC REPUBLIC OF) RegS</v>
      </c>
      <c r="AA160" s="93">
        <v>9.6671491138666799E-3</v>
      </c>
      <c r="AB160" s="93" t="str">
        <v>2027-12-05</v>
      </c>
      <c r="AC160" s="93">
        <v>6.88E-2</v>
      </c>
      <c r="AD160" s="93">
        <v>7.2599999999999998E-2</v>
      </c>
      <c r="AE160" s="93">
        <v>3.7999999999999999E-2</v>
      </c>
      <c r="AF160" s="94">
        <v>2.02</v>
      </c>
      <c r="AG160" s="93" t="str">
        <v>B-</v>
      </c>
      <c r="AH160" s="94">
        <v>2.0493150684931507</v>
      </c>
      <c r="AI160" s="82">
        <v>16</v>
      </c>
      <c r="AJ160" s="82">
        <v>3</v>
      </c>
    </row>
    <row r="161" spans="1:34" x14ac:dyDescent="0.45">
      <c r="A161" s="82" t="str">
        <v>BENCHMARK PORTFOLIO</v>
      </c>
      <c r="B161" s="93">
        <v>3.6800932166873856E-3</v>
      </c>
      <c r="C161" s="93"/>
      <c r="D161" s="93"/>
      <c r="E161" s="93"/>
      <c r="F161" s="93"/>
      <c r="G161" s="93"/>
      <c r="H161" s="93"/>
      <c r="I161" s="94">
        <f>AVERAGE(I111:I160)</f>
        <v>6.1575342465753415</v>
      </c>
      <c r="J161" s="94">
        <f>ROUND(AVERAGE(J111:J160),0)</f>
        <v>7</v>
      </c>
      <c r="K161" s="93"/>
      <c r="L161" s="90"/>
      <c r="M161" s="90"/>
      <c r="N161" s="90"/>
      <c r="O161" s="90"/>
      <c r="P161" s="90"/>
      <c r="Q161" s="90"/>
      <c r="R161" s="90"/>
      <c r="S161" s="90"/>
      <c r="T161" s="90"/>
      <c r="U161" s="90"/>
      <c r="V161" s="90"/>
      <c r="W161" s="90"/>
      <c r="X161" s="90"/>
      <c r="Y161" s="90"/>
      <c r="Z161" s="90"/>
      <c r="AA161" s="90"/>
      <c r="AB161" s="90"/>
      <c r="AC161" s="90"/>
      <c r="AD161" s="90"/>
      <c r="AE161" s="90"/>
      <c r="AF161" s="90"/>
      <c r="AG161" s="90"/>
      <c r="AH161" s="90"/>
    </row>
    <row r="162" spans="1:34" x14ac:dyDescent="0.45">
      <c r="Z162" s="100" t="s">
        <v>338</v>
      </c>
      <c r="AA162" s="106">
        <f>AVERAGE(AA111:AA154)</f>
        <v>4.1485658960944563E-3</v>
      </c>
    </row>
    <row r="163" spans="1:34" x14ac:dyDescent="0.45">
      <c r="Z163" s="100" t="s">
        <v>339</v>
      </c>
      <c r="AA163" s="106">
        <f>AVERAGE(AA155:AA160)</f>
        <v>1.7919741647180279E-4</v>
      </c>
    </row>
    <row r="164" spans="1:34" x14ac:dyDescent="0.45">
      <c r="Z164" s="100" t="s">
        <v>340</v>
      </c>
      <c r="AA164" s="107">
        <f>AVERAGE(AA155:AA157,AA159:AA160)</f>
        <v>1.1254467225830034E-2</v>
      </c>
    </row>
  </sheetData>
  <conditionalFormatting sqref="AA111:AA160">
    <cfRule type="cellIs" dxfId="1" priority="1" operator="lessThan">
      <formula>$B$161</formula>
    </cfRule>
    <cfRule type="cellIs" dxfId="0" priority="2" operator="greaterThan">
      <formula>$B$161</formula>
    </cfRule>
  </conditionalFormatting>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FIM IA 2</vt:lpstr>
      <vt:lpstr>Daten</vt:lpstr>
      <vt:lpstr>Work with data</vt:lpstr>
    </vt:vector>
  </TitlesOfParts>
  <Manager/>
  <Company>Institut Banking &amp; Finance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Manuel Mazidi (mmazid)</dc:creator>
  <cp:keywords/>
  <dc:description/>
  <cp:lastModifiedBy>Ivan Camilo Dorado Dorado</cp:lastModifiedBy>
  <cp:revision/>
  <dcterms:created xsi:type="dcterms:W3CDTF">2020-07-15T08:26:35Z</dcterms:created>
  <dcterms:modified xsi:type="dcterms:W3CDTF">2025-12-02T14:44:41Z</dcterms:modified>
  <cp:category/>
  <cp:contentStatus/>
</cp:coreProperties>
</file>