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Windows\Desktop\Persönliches Dossier\Universität Zürich\5. Semester\S_Finance With Excel\"/>
    </mc:Choice>
  </mc:AlternateContent>
  <xr:revisionPtr revIDLastSave="0" documentId="13_ncr:1_{F13FB5F0-AF81-4F00-9BC5-2268AFC4C0FB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Renditen" sheetId="2" r:id="rId1"/>
    <sheet name="Vermögen" sheetId="1" r:id="rId2"/>
    <sheet name="Strategie" sheetId="5" r:id="rId3"/>
    <sheet name="Lösungsraster" sheetId="6" r:id="rId4"/>
    <sheet name="Performance" sheetId="9" r:id="rId5"/>
    <sheet name="Gesamtvermögen" sheetId="8" r:id="rId6"/>
    <sheet name="Kumulative Rendite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8" i="6" l="1"/>
  <c r="E78" i="6"/>
  <c r="F78" i="6"/>
  <c r="G78" i="6"/>
  <c r="H78" i="6"/>
  <c r="D77" i="6"/>
  <c r="E77" i="6"/>
  <c r="F77" i="6"/>
  <c r="G77" i="6"/>
  <c r="H77" i="6"/>
  <c r="D76" i="6"/>
  <c r="E76" i="6"/>
  <c r="F76" i="6"/>
  <c r="G76" i="6"/>
  <c r="H76" i="6"/>
  <c r="D75" i="6"/>
  <c r="E75" i="6"/>
  <c r="F75" i="6"/>
  <c r="G75" i="6"/>
  <c r="H75" i="6"/>
  <c r="D74" i="6"/>
  <c r="E74" i="6"/>
  <c r="F74" i="6"/>
  <c r="G74" i="6"/>
  <c r="H74" i="6"/>
  <c r="D73" i="6"/>
  <c r="E73" i="6"/>
  <c r="F73" i="6"/>
  <c r="G73" i="6"/>
  <c r="H73" i="6"/>
  <c r="D72" i="6"/>
  <c r="E72" i="6"/>
  <c r="F72" i="6"/>
  <c r="G72" i="6"/>
  <c r="H72" i="6"/>
  <c r="C78" i="6"/>
  <c r="C77" i="6"/>
  <c r="C76" i="6"/>
  <c r="C75" i="6"/>
  <c r="C74" i="6"/>
  <c r="C73" i="6"/>
  <c r="C72" i="6"/>
  <c r="D71" i="6"/>
  <c r="E71" i="6"/>
  <c r="F71" i="6"/>
  <c r="G71" i="6"/>
  <c r="H71" i="6"/>
  <c r="C71" i="6"/>
  <c r="D70" i="6"/>
  <c r="E70" i="6"/>
  <c r="F70" i="6"/>
  <c r="G70" i="6"/>
  <c r="H70" i="6"/>
  <c r="D66" i="6"/>
  <c r="E66" i="6"/>
  <c r="F66" i="6"/>
  <c r="G66" i="6"/>
  <c r="H66" i="6"/>
  <c r="C66" i="6"/>
  <c r="D65" i="6"/>
  <c r="E65" i="6"/>
  <c r="F65" i="6"/>
  <c r="G65" i="6"/>
  <c r="H65" i="6"/>
  <c r="C65" i="6"/>
  <c r="D64" i="6"/>
  <c r="E64" i="6"/>
  <c r="F64" i="6"/>
  <c r="G64" i="6"/>
  <c r="H64" i="6"/>
  <c r="C64" i="6"/>
  <c r="D63" i="6"/>
  <c r="E63" i="6"/>
  <c r="F63" i="6"/>
  <c r="G63" i="6"/>
  <c r="H63" i="6"/>
  <c r="C63" i="6"/>
  <c r="D62" i="6"/>
  <c r="E62" i="6"/>
  <c r="F62" i="6"/>
  <c r="G62" i="6"/>
  <c r="H62" i="6"/>
  <c r="C62" i="6"/>
  <c r="D61" i="6"/>
  <c r="E61" i="6"/>
  <c r="F61" i="6"/>
  <c r="G61" i="6"/>
  <c r="H61" i="6"/>
  <c r="C61" i="6"/>
  <c r="D60" i="6"/>
  <c r="E60" i="6"/>
  <c r="F60" i="6"/>
  <c r="G60" i="6"/>
  <c r="H60" i="6"/>
  <c r="C60" i="6"/>
  <c r="D59" i="6"/>
  <c r="E59" i="6"/>
  <c r="F59" i="6"/>
  <c r="G59" i="6"/>
  <c r="H59" i="6"/>
  <c r="D58" i="6"/>
  <c r="E58" i="6"/>
  <c r="F58" i="6"/>
  <c r="G58" i="6"/>
  <c r="H58" i="6"/>
  <c r="C59" i="6"/>
  <c r="O11" i="9"/>
  <c r="N11" i="9"/>
  <c r="M11" i="9"/>
  <c r="L11" i="9"/>
  <c r="K11" i="9"/>
  <c r="J11" i="9"/>
  <c r="J14" i="9" a="1"/>
  <c r="J14" i="9" s="1"/>
  <c r="J2" i="9" a="1"/>
  <c r="J2" i="9" s="1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4" i="8"/>
  <c r="T3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4" i="8"/>
  <c r="S3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4" i="8"/>
  <c r="R3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4" i="8"/>
  <c r="Q3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4" i="8"/>
  <c r="P3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4" i="8"/>
  <c r="O3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4" i="8"/>
  <c r="N3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4" i="8"/>
  <c r="M3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K15" i="6"/>
  <c r="K14" i="6"/>
  <c r="K13" i="6"/>
  <c r="K8" i="6"/>
  <c r="K7" i="6"/>
  <c r="G10" i="9"/>
  <c r="G9" i="9"/>
  <c r="G8" i="9"/>
  <c r="G7" i="9"/>
  <c r="G6" i="9"/>
  <c r="G5" i="9"/>
  <c r="G4" i="9"/>
  <c r="G3" i="9"/>
  <c r="F10" i="9"/>
  <c r="F9" i="9"/>
  <c r="F8" i="9"/>
  <c r="F7" i="9"/>
  <c r="F6" i="9"/>
  <c r="F5" i="9"/>
  <c r="F4" i="9"/>
  <c r="F3" i="9"/>
  <c r="E10" i="9"/>
  <c r="E9" i="9"/>
  <c r="E8" i="9"/>
  <c r="E7" i="9"/>
  <c r="E6" i="9"/>
  <c r="E5" i="9"/>
  <c r="E4" i="9"/>
  <c r="E3" i="9"/>
  <c r="D10" i="9"/>
  <c r="D9" i="9"/>
  <c r="D8" i="9"/>
  <c r="D7" i="9"/>
  <c r="D6" i="9"/>
  <c r="D5" i="9"/>
  <c r="D4" i="9"/>
  <c r="D3" i="9"/>
  <c r="C10" i="9"/>
  <c r="C9" i="9"/>
  <c r="C8" i="9"/>
  <c r="C7" i="9"/>
  <c r="C6" i="9"/>
  <c r="C5" i="9"/>
  <c r="C4" i="9"/>
  <c r="C3" i="9"/>
  <c r="B10" i="9"/>
  <c r="B9" i="9"/>
  <c r="B8" i="9"/>
  <c r="B7" i="9"/>
  <c r="B6" i="9"/>
  <c r="B5" i="9"/>
  <c r="B4" i="9"/>
  <c r="B3" i="9"/>
  <c r="G2" i="9"/>
  <c r="F2" i="9"/>
  <c r="E2" i="9"/>
  <c r="D2" i="9"/>
  <c r="C2" i="9"/>
  <c r="B2" i="9"/>
  <c r="C70" i="6" l="1"/>
  <c r="C58" i="6"/>
  <c r="G43" i="6"/>
  <c r="G44" i="6"/>
  <c r="G45" i="6"/>
  <c r="G46" i="6"/>
  <c r="G47" i="6"/>
  <c r="G48" i="6"/>
  <c r="G49" i="6"/>
  <c r="G50" i="6"/>
  <c r="G42" i="6"/>
  <c r="E43" i="6"/>
  <c r="E44" i="6"/>
  <c r="E45" i="6"/>
  <c r="E46" i="6"/>
  <c r="E47" i="6"/>
  <c r="E48" i="6"/>
  <c r="E49" i="6"/>
  <c r="E50" i="6"/>
  <c r="E42" i="6"/>
  <c r="A75" i="8"/>
  <c r="A73" i="8" a="1"/>
  <c r="A73" i="8" s="1"/>
  <c r="D37" i="6"/>
  <c r="AG71" i="8" a="1"/>
  <c r="AG71" i="8" s="1"/>
  <c r="AF4" i="8"/>
  <c r="AF5" i="8"/>
  <c r="AF6" i="8"/>
  <c r="AF7" i="8"/>
  <c r="AF8" i="8"/>
  <c r="AF9" i="8"/>
  <c r="AF10" i="8"/>
  <c r="AF11" i="8"/>
  <c r="AF12" i="8"/>
  <c r="AF13" i="8"/>
  <c r="AF14" i="8"/>
  <c r="AF15" i="8"/>
  <c r="AF16" i="8"/>
  <c r="AF17" i="8"/>
  <c r="AF18" i="8"/>
  <c r="AF19" i="8"/>
  <c r="AF20" i="8"/>
  <c r="AF21" i="8"/>
  <c r="AF22" i="8"/>
  <c r="AF23" i="8"/>
  <c r="AF24" i="8"/>
  <c r="AF25" i="8"/>
  <c r="AF26" i="8"/>
  <c r="AF27" i="8"/>
  <c r="AF28" i="8"/>
  <c r="AF29" i="8"/>
  <c r="AF30" i="8"/>
  <c r="AF31" i="8"/>
  <c r="AF32" i="8"/>
  <c r="AF33" i="8"/>
  <c r="AF34" i="8"/>
  <c r="AF35" i="8"/>
  <c r="AF36" i="8"/>
  <c r="AF37" i="8"/>
  <c r="AF38" i="8"/>
  <c r="AF39" i="8"/>
  <c r="AF40" i="8"/>
  <c r="AF41" i="8"/>
  <c r="AF42" i="8"/>
  <c r="AF43" i="8"/>
  <c r="AF44" i="8"/>
  <c r="AF45" i="8"/>
  <c r="AF46" i="8"/>
  <c r="AF47" i="8"/>
  <c r="AF48" i="8"/>
  <c r="AF49" i="8"/>
  <c r="AF50" i="8"/>
  <c r="AF51" i="8"/>
  <c r="AF52" i="8"/>
  <c r="AF53" i="8"/>
  <c r="AF54" i="8"/>
  <c r="AF55" i="8"/>
  <c r="AF56" i="8"/>
  <c r="AF57" i="8"/>
  <c r="AF58" i="8"/>
  <c r="AF59" i="8"/>
  <c r="AF60" i="8"/>
  <c r="AF61" i="8"/>
  <c r="AF62" i="8"/>
  <c r="AF63" i="8"/>
  <c r="AF64" i="8"/>
  <c r="AF65" i="8"/>
  <c r="AF66" i="8"/>
  <c r="AF67" i="8"/>
  <c r="AF68" i="8"/>
  <c r="AF3" i="8"/>
  <c r="AE4" i="8"/>
  <c r="AE5" i="8"/>
  <c r="AE6" i="8"/>
  <c r="AE7" i="8"/>
  <c r="AE8" i="8"/>
  <c r="AE9" i="8"/>
  <c r="AE10" i="8"/>
  <c r="AE11" i="8"/>
  <c r="AE12" i="8"/>
  <c r="AE13" i="8"/>
  <c r="AE14" i="8"/>
  <c r="AE15" i="8"/>
  <c r="AE16" i="8"/>
  <c r="AE17" i="8"/>
  <c r="AE18" i="8"/>
  <c r="AE19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3" i="8"/>
  <c r="AE44" i="8"/>
  <c r="AE45" i="8"/>
  <c r="AE46" i="8"/>
  <c r="AE47" i="8"/>
  <c r="AE48" i="8"/>
  <c r="AE49" i="8"/>
  <c r="AE50" i="8"/>
  <c r="AE51" i="8"/>
  <c r="AE52" i="8"/>
  <c r="AE53" i="8"/>
  <c r="AE54" i="8"/>
  <c r="AE55" i="8"/>
  <c r="AE56" i="8"/>
  <c r="AE57" i="8"/>
  <c r="AE58" i="8"/>
  <c r="AE59" i="8"/>
  <c r="AE60" i="8"/>
  <c r="AE61" i="8"/>
  <c r="AE62" i="8"/>
  <c r="AE63" i="8"/>
  <c r="AE64" i="8"/>
  <c r="AE65" i="8"/>
  <c r="AE66" i="8"/>
  <c r="AE67" i="8"/>
  <c r="AE68" i="8"/>
  <c r="AE3" i="8"/>
  <c r="AD4" i="8"/>
  <c r="AD5" i="8"/>
  <c r="AD6" i="8"/>
  <c r="AD7" i="8"/>
  <c r="AD8" i="8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51" i="8"/>
  <c r="AD52" i="8"/>
  <c r="AD53" i="8"/>
  <c r="AD54" i="8"/>
  <c r="AD55" i="8"/>
  <c r="AD56" i="8"/>
  <c r="AD57" i="8"/>
  <c r="AD58" i="8"/>
  <c r="AD59" i="8"/>
  <c r="AD60" i="8"/>
  <c r="AD61" i="8"/>
  <c r="AD62" i="8"/>
  <c r="AD63" i="8"/>
  <c r="AD64" i="8"/>
  <c r="AD65" i="8"/>
  <c r="AD66" i="8"/>
  <c r="AD67" i="8"/>
  <c r="AD68" i="8"/>
  <c r="AD3" i="8"/>
  <c r="AC4" i="8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5" i="8"/>
  <c r="AC56" i="8"/>
  <c r="AC57" i="8"/>
  <c r="AC58" i="8"/>
  <c r="AC59" i="8"/>
  <c r="AC60" i="8"/>
  <c r="AC61" i="8"/>
  <c r="AC62" i="8"/>
  <c r="AC63" i="8"/>
  <c r="AC64" i="8"/>
  <c r="AC65" i="8"/>
  <c r="AC66" i="8"/>
  <c r="AC67" i="8"/>
  <c r="AC68" i="8"/>
  <c r="AC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AB59" i="8"/>
  <c r="AB60" i="8"/>
  <c r="AB61" i="8"/>
  <c r="AB62" i="8"/>
  <c r="AB63" i="8"/>
  <c r="AB64" i="8"/>
  <c r="AB65" i="8"/>
  <c r="AB66" i="8"/>
  <c r="AB67" i="8"/>
  <c r="AB68" i="8"/>
  <c r="AB3" i="8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A63" i="8"/>
  <c r="AA64" i="8"/>
  <c r="AA65" i="8"/>
  <c r="AA66" i="8"/>
  <c r="AA67" i="8"/>
  <c r="AA68" i="8"/>
  <c r="AA3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/>
  <c r="Y44" i="8"/>
  <c r="Y45" i="8"/>
  <c r="Y46" i="8"/>
  <c r="Y47" i="8"/>
  <c r="Y48" i="8"/>
  <c r="Y49" i="8"/>
  <c r="Y50" i="8"/>
  <c r="Y51" i="8"/>
  <c r="Y52" i="8"/>
  <c r="Y53" i="8"/>
  <c r="Y54" i="8"/>
  <c r="Y55" i="8"/>
  <c r="Y56" i="8"/>
  <c r="Y57" i="8"/>
  <c r="Y58" i="8"/>
  <c r="Y59" i="8"/>
  <c r="Y60" i="8"/>
  <c r="Y61" i="8"/>
  <c r="Y62" i="8"/>
  <c r="Y63" i="8"/>
  <c r="Y64" i="8"/>
  <c r="Y65" i="8"/>
  <c r="Y66" i="8"/>
  <c r="Y67" i="8"/>
  <c r="Y68" i="8"/>
  <c r="Y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3" i="8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3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3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D2" i="8"/>
  <c r="E2" i="8"/>
  <c r="F2" i="8"/>
  <c r="G2" i="8"/>
  <c r="H2" i="8"/>
  <c r="I2" i="8"/>
  <c r="J2" i="8"/>
  <c r="K2" i="8"/>
  <c r="C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2" i="8"/>
  <c r="K10" i="6"/>
  <c r="J17" i="6"/>
  <c r="J15" i="6"/>
  <c r="J14" i="6"/>
  <c r="J13" i="6"/>
  <c r="J10" i="6"/>
  <c r="J8" i="6"/>
  <c r="J7" i="6"/>
  <c r="I17" i="6"/>
  <c r="I15" i="6"/>
  <c r="I14" i="6"/>
  <c r="I13" i="6"/>
  <c r="I10" i="6"/>
  <c r="I8" i="6"/>
  <c r="I7" i="6"/>
  <c r="U4" i="7" a="1"/>
  <c r="U4" i="7" s="1"/>
  <c r="U5" i="7" a="1"/>
  <c r="U5" i="7" s="1"/>
  <c r="U6" i="7" a="1"/>
  <c r="U6" i="7" s="1"/>
  <c r="U7" i="7" a="1"/>
  <c r="U7" i="7" s="1"/>
  <c r="U8" i="7" a="1"/>
  <c r="U8" i="7"/>
  <c r="U9" i="7" a="1"/>
  <c r="U9" i="7" s="1"/>
  <c r="U10" i="7" a="1"/>
  <c r="U10" i="7" s="1"/>
  <c r="U11" i="7" a="1"/>
  <c r="U11" i="7" s="1"/>
  <c r="U12" i="7" a="1"/>
  <c r="U12" i="7" s="1"/>
  <c r="U13" i="7" a="1"/>
  <c r="U13" i="7" s="1"/>
  <c r="U14" i="7" a="1"/>
  <c r="U14" i="7"/>
  <c r="U15" i="7" a="1"/>
  <c r="U15" i="7" s="1"/>
  <c r="U16" i="7" a="1"/>
  <c r="U16" i="7" s="1"/>
  <c r="U17" i="7" a="1"/>
  <c r="U17" i="7" s="1"/>
  <c r="U18" i="7" a="1"/>
  <c r="U18" i="7" s="1"/>
  <c r="U19" i="7" a="1"/>
  <c r="U19" i="7" s="1"/>
  <c r="U20" i="7" a="1"/>
  <c r="U20" i="7"/>
  <c r="U21" i="7" a="1"/>
  <c r="U21" i="7" s="1"/>
  <c r="U22" i="7" a="1"/>
  <c r="U22" i="7" s="1"/>
  <c r="U23" i="7" a="1"/>
  <c r="U23" i="7" s="1"/>
  <c r="U24" i="7" a="1"/>
  <c r="U24" i="7" s="1"/>
  <c r="U25" i="7" a="1"/>
  <c r="U25" i="7" s="1"/>
  <c r="U26" i="7" a="1"/>
  <c r="U26" i="7"/>
  <c r="U27" i="7" a="1"/>
  <c r="U27" i="7" s="1"/>
  <c r="U28" i="7" a="1"/>
  <c r="U28" i="7" s="1"/>
  <c r="U29" i="7" a="1"/>
  <c r="U29" i="7" s="1"/>
  <c r="U30" i="7" a="1"/>
  <c r="U30" i="7" s="1"/>
  <c r="U31" i="7" a="1"/>
  <c r="U31" i="7" s="1"/>
  <c r="U32" i="7" a="1"/>
  <c r="U32" i="7"/>
  <c r="U33" i="7" a="1"/>
  <c r="U33" i="7" s="1"/>
  <c r="U34" i="7" a="1"/>
  <c r="U34" i="7" s="1"/>
  <c r="U35" i="7" a="1"/>
  <c r="U35" i="7" s="1"/>
  <c r="U36" i="7" a="1"/>
  <c r="U36" i="7" s="1"/>
  <c r="U37" i="7" a="1"/>
  <c r="U37" i="7" s="1"/>
  <c r="U38" i="7" a="1"/>
  <c r="U38" i="7"/>
  <c r="U39" i="7" a="1"/>
  <c r="U39" i="7" s="1"/>
  <c r="U40" i="7" a="1"/>
  <c r="U40" i="7" s="1"/>
  <c r="U41" i="7" a="1"/>
  <c r="U41" i="7" s="1"/>
  <c r="U42" i="7" a="1"/>
  <c r="U42" i="7" s="1"/>
  <c r="U43" i="7" a="1"/>
  <c r="U43" i="7" s="1"/>
  <c r="U44" i="7" a="1"/>
  <c r="U44" i="7"/>
  <c r="U45" i="7" a="1"/>
  <c r="U45" i="7" s="1"/>
  <c r="U46" i="7" a="1"/>
  <c r="U46" i="7" s="1"/>
  <c r="U47" i="7" a="1"/>
  <c r="U47" i="7" s="1"/>
  <c r="U48" i="7" a="1"/>
  <c r="U48" i="7" s="1"/>
  <c r="U49" i="7" a="1"/>
  <c r="U49" i="7" s="1"/>
  <c r="U50" i="7" a="1"/>
  <c r="U50" i="7"/>
  <c r="U51" i="7" a="1"/>
  <c r="U51" i="7" s="1"/>
  <c r="U52" i="7" a="1"/>
  <c r="U52" i="7" s="1"/>
  <c r="U53" i="7" a="1"/>
  <c r="U53" i="7" s="1"/>
  <c r="U54" i="7" a="1"/>
  <c r="U54" i="7" s="1"/>
  <c r="U55" i="7" a="1"/>
  <c r="U55" i="7" s="1"/>
  <c r="U56" i="7" a="1"/>
  <c r="U56" i="7"/>
  <c r="U57" i="7" a="1"/>
  <c r="U57" i="7" s="1"/>
  <c r="U58" i="7" a="1"/>
  <c r="U58" i="7" s="1"/>
  <c r="U59" i="7" a="1"/>
  <c r="U59" i="7" s="1"/>
  <c r="U60" i="7" a="1"/>
  <c r="U60" i="7" s="1"/>
  <c r="U61" i="7" a="1"/>
  <c r="U61" i="7" s="1"/>
  <c r="U62" i="7" a="1"/>
  <c r="U62" i="7"/>
  <c r="U63" i="7" a="1"/>
  <c r="U63" i="7" s="1"/>
  <c r="U64" i="7" a="1"/>
  <c r="U64" i="7" s="1"/>
  <c r="U65" i="7" a="1"/>
  <c r="U65" i="7" s="1"/>
  <c r="U66" i="7" a="1"/>
  <c r="U66" i="7" s="1"/>
  <c r="U67" i="7" a="1"/>
  <c r="U67" i="7" s="1"/>
  <c r="U3" i="7" a="1"/>
  <c r="U3" i="7"/>
  <c r="T4" i="7" a="1"/>
  <c r="T4" i="7" s="1"/>
  <c r="T5" i="7" a="1"/>
  <c r="T5" i="7" s="1"/>
  <c r="T6" i="7" a="1"/>
  <c r="T6" i="7" s="1"/>
  <c r="T7" i="7" a="1"/>
  <c r="T7" i="7" s="1"/>
  <c r="T8" i="7" a="1"/>
  <c r="T8" i="7"/>
  <c r="T9" i="7" a="1"/>
  <c r="T9" i="7" s="1"/>
  <c r="T10" i="7" a="1"/>
  <c r="T10" i="7" s="1"/>
  <c r="T11" i="7" a="1"/>
  <c r="T11" i="7" s="1"/>
  <c r="T12" i="7" a="1"/>
  <c r="T12" i="7" s="1"/>
  <c r="T13" i="7" a="1"/>
  <c r="T13" i="7" s="1"/>
  <c r="T14" i="7" a="1"/>
  <c r="T14" i="7"/>
  <c r="T15" i="7" a="1"/>
  <c r="T15" i="7" s="1"/>
  <c r="T16" i="7" a="1"/>
  <c r="T16" i="7" s="1"/>
  <c r="T17" i="7" a="1"/>
  <c r="T17" i="7" s="1"/>
  <c r="T18" i="7" a="1"/>
  <c r="T18" i="7" s="1"/>
  <c r="T19" i="7" a="1"/>
  <c r="T19" i="7" s="1"/>
  <c r="T20" i="7" a="1"/>
  <c r="T20" i="7"/>
  <c r="T21" i="7" a="1"/>
  <c r="T21" i="7" s="1"/>
  <c r="T22" i="7" a="1"/>
  <c r="T22" i="7" s="1"/>
  <c r="T23" i="7" a="1"/>
  <c r="T23" i="7" s="1"/>
  <c r="T24" i="7" a="1"/>
  <c r="T24" i="7" s="1"/>
  <c r="T25" i="7" a="1"/>
  <c r="T25" i="7" s="1"/>
  <c r="T26" i="7" a="1"/>
  <c r="T26" i="7"/>
  <c r="T27" i="7" a="1"/>
  <c r="T27" i="7" s="1"/>
  <c r="T28" i="7" a="1"/>
  <c r="T28" i="7" s="1"/>
  <c r="T29" i="7" a="1"/>
  <c r="T29" i="7" s="1"/>
  <c r="T30" i="7" a="1"/>
  <c r="T30" i="7" s="1"/>
  <c r="T31" i="7" a="1"/>
  <c r="T31" i="7" s="1"/>
  <c r="T32" i="7" a="1"/>
  <c r="T32" i="7"/>
  <c r="T33" i="7" a="1"/>
  <c r="T33" i="7" s="1"/>
  <c r="T34" i="7" a="1"/>
  <c r="T34" i="7" s="1"/>
  <c r="T35" i="7" a="1"/>
  <c r="T35" i="7" s="1"/>
  <c r="T36" i="7" a="1"/>
  <c r="T36" i="7" s="1"/>
  <c r="T37" i="7" a="1"/>
  <c r="T37" i="7" s="1"/>
  <c r="T38" i="7" a="1"/>
  <c r="T38" i="7"/>
  <c r="T39" i="7" a="1"/>
  <c r="T39" i="7" s="1"/>
  <c r="T40" i="7" a="1"/>
  <c r="T40" i="7" s="1"/>
  <c r="T41" i="7" a="1"/>
  <c r="T41" i="7" s="1"/>
  <c r="T42" i="7" a="1"/>
  <c r="T42" i="7" s="1"/>
  <c r="T43" i="7" a="1"/>
  <c r="T43" i="7" s="1"/>
  <c r="T44" i="7" a="1"/>
  <c r="T44" i="7"/>
  <c r="T45" i="7" a="1"/>
  <c r="T45" i="7" s="1"/>
  <c r="T46" i="7" a="1"/>
  <c r="T46" i="7" s="1"/>
  <c r="T47" i="7" a="1"/>
  <c r="T47" i="7" s="1"/>
  <c r="T48" i="7" a="1"/>
  <c r="T48" i="7" s="1"/>
  <c r="T49" i="7" a="1"/>
  <c r="T49" i="7" s="1"/>
  <c r="T50" i="7" a="1"/>
  <c r="T50" i="7"/>
  <c r="T51" i="7" a="1"/>
  <c r="T51" i="7" s="1"/>
  <c r="T52" i="7" a="1"/>
  <c r="T52" i="7" s="1"/>
  <c r="T53" i="7" a="1"/>
  <c r="T53" i="7" s="1"/>
  <c r="T54" i="7" a="1"/>
  <c r="T54" i="7" s="1"/>
  <c r="T55" i="7" a="1"/>
  <c r="T55" i="7" s="1"/>
  <c r="T56" i="7" a="1"/>
  <c r="T56" i="7"/>
  <c r="T57" i="7" a="1"/>
  <c r="T57" i="7" s="1"/>
  <c r="T58" i="7" a="1"/>
  <c r="T58" i="7" s="1"/>
  <c r="T59" i="7" a="1"/>
  <c r="T59" i="7" s="1"/>
  <c r="T60" i="7" a="1"/>
  <c r="T60" i="7" s="1"/>
  <c r="T61" i="7" a="1"/>
  <c r="T61" i="7" s="1"/>
  <c r="T62" i="7" a="1"/>
  <c r="T62" i="7"/>
  <c r="T63" i="7" a="1"/>
  <c r="T63" i="7" s="1"/>
  <c r="T64" i="7" a="1"/>
  <c r="T64" i="7" s="1"/>
  <c r="T65" i="7" a="1"/>
  <c r="T65" i="7" s="1"/>
  <c r="T66" i="7" a="1"/>
  <c r="T66" i="7" s="1"/>
  <c r="T67" i="7" a="1"/>
  <c r="T67" i="7" s="1"/>
  <c r="T3" i="7" a="1"/>
  <c r="T3" i="7" s="1"/>
  <c r="S4" i="7" a="1"/>
  <c r="S4" i="7" s="1"/>
  <c r="S5" i="7" a="1"/>
  <c r="S5" i="7"/>
  <c r="S6" i="7" a="1"/>
  <c r="S6" i="7" s="1"/>
  <c r="S7" i="7" a="1"/>
  <c r="S7" i="7"/>
  <c r="S8" i="7" a="1"/>
  <c r="S8" i="7"/>
  <c r="S9" i="7" a="1"/>
  <c r="S9" i="7" s="1"/>
  <c r="S10" i="7" a="1"/>
  <c r="S10" i="7" s="1"/>
  <c r="S11" i="7" a="1"/>
  <c r="S11" i="7" s="1"/>
  <c r="S12" i="7" a="1"/>
  <c r="S12" i="7" s="1"/>
  <c r="S13" i="7" a="1"/>
  <c r="S13" i="7"/>
  <c r="S14" i="7" a="1"/>
  <c r="S14" i="7"/>
  <c r="S15" i="7" a="1"/>
  <c r="S15" i="7" s="1"/>
  <c r="S16" i="7" a="1"/>
  <c r="S16" i="7" s="1"/>
  <c r="S17" i="7" a="1"/>
  <c r="S17" i="7" s="1"/>
  <c r="S18" i="7" a="1"/>
  <c r="S18" i="7" s="1"/>
  <c r="S19" i="7" a="1"/>
  <c r="S19" i="7"/>
  <c r="S20" i="7" a="1"/>
  <c r="S20" i="7"/>
  <c r="S21" i="7" a="1"/>
  <c r="S21" i="7" s="1"/>
  <c r="S22" i="7" a="1"/>
  <c r="S22" i="7" s="1"/>
  <c r="S23" i="7" a="1"/>
  <c r="S23" i="7" s="1"/>
  <c r="S24" i="7" a="1"/>
  <c r="S24" i="7" s="1"/>
  <c r="S25" i="7" a="1"/>
  <c r="S25" i="7"/>
  <c r="S26" i="7" a="1"/>
  <c r="S26" i="7"/>
  <c r="S27" i="7" a="1"/>
  <c r="S27" i="7" s="1"/>
  <c r="S28" i="7" a="1"/>
  <c r="S28" i="7" s="1"/>
  <c r="S29" i="7" a="1"/>
  <c r="S29" i="7" s="1"/>
  <c r="S30" i="7" a="1"/>
  <c r="S30" i="7" s="1"/>
  <c r="S31" i="7" a="1"/>
  <c r="S31" i="7"/>
  <c r="S32" i="7" a="1"/>
  <c r="S32" i="7"/>
  <c r="S33" i="7" a="1"/>
  <c r="S33" i="7" s="1"/>
  <c r="S34" i="7" a="1"/>
  <c r="S34" i="7" s="1"/>
  <c r="S35" i="7" a="1"/>
  <c r="S35" i="7" s="1"/>
  <c r="S36" i="7" a="1"/>
  <c r="S36" i="7" s="1"/>
  <c r="S37" i="7" a="1"/>
  <c r="S37" i="7"/>
  <c r="S38" i="7" a="1"/>
  <c r="S38" i="7"/>
  <c r="S39" i="7" a="1"/>
  <c r="S39" i="7" s="1"/>
  <c r="S40" i="7" a="1"/>
  <c r="S40" i="7" s="1"/>
  <c r="S41" i="7" a="1"/>
  <c r="S41" i="7" s="1"/>
  <c r="S42" i="7" a="1"/>
  <c r="S42" i="7" s="1"/>
  <c r="S43" i="7" a="1"/>
  <c r="S43" i="7"/>
  <c r="S44" i="7" a="1"/>
  <c r="S44" i="7"/>
  <c r="S45" i="7" a="1"/>
  <c r="S45" i="7" s="1"/>
  <c r="S46" i="7" a="1"/>
  <c r="S46" i="7" s="1"/>
  <c r="S47" i="7" a="1"/>
  <c r="S47" i="7" s="1"/>
  <c r="S48" i="7" a="1"/>
  <c r="S48" i="7" s="1"/>
  <c r="S49" i="7" a="1"/>
  <c r="S49" i="7"/>
  <c r="S50" i="7" a="1"/>
  <c r="S50" i="7"/>
  <c r="S51" i="7" a="1"/>
  <c r="S51" i="7" s="1"/>
  <c r="S52" i="7" a="1"/>
  <c r="S52" i="7" s="1"/>
  <c r="S53" i="7" a="1"/>
  <c r="S53" i="7" s="1"/>
  <c r="S54" i="7" a="1"/>
  <c r="S54" i="7" s="1"/>
  <c r="S55" i="7" a="1"/>
  <c r="S55" i="7"/>
  <c r="S56" i="7" a="1"/>
  <c r="S56" i="7"/>
  <c r="S57" i="7" a="1"/>
  <c r="S57" i="7" s="1"/>
  <c r="S58" i="7" a="1"/>
  <c r="S58" i="7" s="1"/>
  <c r="S59" i="7" a="1"/>
  <c r="S59" i="7" s="1"/>
  <c r="S60" i="7" a="1"/>
  <c r="S60" i="7" s="1"/>
  <c r="S61" i="7" a="1"/>
  <c r="S61" i="7"/>
  <c r="S62" i="7" a="1"/>
  <c r="S62" i="7"/>
  <c r="S63" i="7" a="1"/>
  <c r="S63" i="7" s="1"/>
  <c r="S64" i="7" a="1"/>
  <c r="S64" i="7" s="1"/>
  <c r="S65" i="7" a="1"/>
  <c r="S65" i="7" s="1"/>
  <c r="S66" i="7" a="1"/>
  <c r="S66" i="7" s="1"/>
  <c r="S67" i="7" a="1"/>
  <c r="S67" i="7"/>
  <c r="S3" i="7" a="1"/>
  <c r="S3" i="7" s="1"/>
  <c r="R4" i="7" a="1"/>
  <c r="R4" i="7" s="1"/>
  <c r="R5" i="7" a="1"/>
  <c r="R5" i="7" s="1"/>
  <c r="R6" i="7" a="1"/>
  <c r="R6" i="7" s="1"/>
  <c r="R7" i="7" a="1"/>
  <c r="R7" i="7" s="1"/>
  <c r="R8" i="7" a="1"/>
  <c r="R8" i="7"/>
  <c r="R9" i="7" a="1"/>
  <c r="R9" i="7" s="1"/>
  <c r="R10" i="7" a="1"/>
  <c r="R10" i="7" s="1"/>
  <c r="R11" i="7" a="1"/>
  <c r="R11" i="7" s="1"/>
  <c r="R12" i="7" a="1"/>
  <c r="R12" i="7" s="1"/>
  <c r="R13" i="7" a="1"/>
  <c r="R13" i="7" s="1"/>
  <c r="R14" i="7" a="1"/>
  <c r="R14" i="7"/>
  <c r="R15" i="7" a="1"/>
  <c r="R15" i="7" s="1"/>
  <c r="R16" i="7" a="1"/>
  <c r="R16" i="7" s="1"/>
  <c r="R17" i="7" a="1"/>
  <c r="R17" i="7" s="1"/>
  <c r="R18" i="7" a="1"/>
  <c r="R18" i="7" s="1"/>
  <c r="R19" i="7" a="1"/>
  <c r="R19" i="7" s="1"/>
  <c r="R20" i="7" a="1"/>
  <c r="R20" i="7"/>
  <c r="R21" i="7" a="1"/>
  <c r="R21" i="7" s="1"/>
  <c r="R22" i="7" a="1"/>
  <c r="R22" i="7" s="1"/>
  <c r="R23" i="7" a="1"/>
  <c r="R23" i="7" s="1"/>
  <c r="R24" i="7" a="1"/>
  <c r="R24" i="7" s="1"/>
  <c r="R25" i="7" a="1"/>
  <c r="R25" i="7" s="1"/>
  <c r="R26" i="7" a="1"/>
  <c r="R26" i="7"/>
  <c r="R27" i="7" a="1"/>
  <c r="R27" i="7" s="1"/>
  <c r="R28" i="7" a="1"/>
  <c r="R28" i="7" s="1"/>
  <c r="R29" i="7" a="1"/>
  <c r="R29" i="7" s="1"/>
  <c r="R30" i="7" a="1"/>
  <c r="R30" i="7" s="1"/>
  <c r="R31" i="7" a="1"/>
  <c r="R31" i="7" s="1"/>
  <c r="R32" i="7" a="1"/>
  <c r="R32" i="7"/>
  <c r="R33" i="7" a="1"/>
  <c r="R33" i="7" s="1"/>
  <c r="R34" i="7" a="1"/>
  <c r="R34" i="7" s="1"/>
  <c r="R35" i="7" a="1"/>
  <c r="R35" i="7" s="1"/>
  <c r="R36" i="7" a="1"/>
  <c r="R36" i="7" s="1"/>
  <c r="R37" i="7" a="1"/>
  <c r="R37" i="7" s="1"/>
  <c r="R38" i="7" a="1"/>
  <c r="R38" i="7"/>
  <c r="R39" i="7" a="1"/>
  <c r="R39" i="7" s="1"/>
  <c r="R40" i="7" a="1"/>
  <c r="R40" i="7" s="1"/>
  <c r="R41" i="7" a="1"/>
  <c r="R41" i="7" s="1"/>
  <c r="R42" i="7" a="1"/>
  <c r="R42" i="7" s="1"/>
  <c r="R43" i="7" a="1"/>
  <c r="R43" i="7" s="1"/>
  <c r="R44" i="7" a="1"/>
  <c r="R44" i="7"/>
  <c r="R45" i="7" a="1"/>
  <c r="R45" i="7" s="1"/>
  <c r="R46" i="7" a="1"/>
  <c r="R46" i="7" s="1"/>
  <c r="R47" i="7" a="1"/>
  <c r="R47" i="7" s="1"/>
  <c r="R48" i="7" a="1"/>
  <c r="R48" i="7" s="1"/>
  <c r="R49" i="7" a="1"/>
  <c r="R49" i="7" s="1"/>
  <c r="R50" i="7" a="1"/>
  <c r="R50" i="7"/>
  <c r="R51" i="7" a="1"/>
  <c r="R51" i="7" s="1"/>
  <c r="R52" i="7" a="1"/>
  <c r="R52" i="7" s="1"/>
  <c r="R53" i="7" a="1"/>
  <c r="R53" i="7" s="1"/>
  <c r="R54" i="7" a="1"/>
  <c r="R54" i="7" s="1"/>
  <c r="R55" i="7" a="1"/>
  <c r="R55" i="7" s="1"/>
  <c r="R56" i="7" a="1"/>
  <c r="R56" i="7"/>
  <c r="R57" i="7" a="1"/>
  <c r="R57" i="7" s="1"/>
  <c r="R58" i="7" a="1"/>
  <c r="R58" i="7" s="1"/>
  <c r="R59" i="7" a="1"/>
  <c r="R59" i="7" s="1"/>
  <c r="R60" i="7" a="1"/>
  <c r="R60" i="7" s="1"/>
  <c r="R61" i="7" a="1"/>
  <c r="R61" i="7" s="1"/>
  <c r="R62" i="7" a="1"/>
  <c r="R62" i="7"/>
  <c r="R63" i="7" a="1"/>
  <c r="R63" i="7" s="1"/>
  <c r="R64" i="7" a="1"/>
  <c r="R64" i="7" s="1"/>
  <c r="R65" i="7" a="1"/>
  <c r="R65" i="7" s="1"/>
  <c r="R66" i="7" a="1"/>
  <c r="R66" i="7" s="1"/>
  <c r="R67" i="7" a="1"/>
  <c r="R67" i="7" s="1"/>
  <c r="R3" i="7" a="1"/>
  <c r="R3" i="7"/>
  <c r="Q4" i="7" a="1"/>
  <c r="Q4" i="7" s="1"/>
  <c r="Q5" i="7" a="1"/>
  <c r="Q5" i="7" s="1"/>
  <c r="Q6" i="7" a="1"/>
  <c r="Q6" i="7" s="1"/>
  <c r="Q7" i="7" a="1"/>
  <c r="Q7" i="7" s="1"/>
  <c r="Q8" i="7" a="1"/>
  <c r="Q8" i="7" s="1"/>
  <c r="Q9" i="7" a="1"/>
  <c r="Q9" i="7"/>
  <c r="Q10" i="7" a="1"/>
  <c r="Q10" i="7" s="1"/>
  <c r="Q11" i="7" a="1"/>
  <c r="Q11" i="7" s="1"/>
  <c r="Q12" i="7" a="1"/>
  <c r="Q12" i="7" s="1"/>
  <c r="Q13" i="7" a="1"/>
  <c r="Q13" i="7" s="1"/>
  <c r="Q14" i="7" a="1"/>
  <c r="Q14" i="7" s="1"/>
  <c r="Q15" i="7" a="1"/>
  <c r="Q15" i="7" s="1"/>
  <c r="Q16" i="7" a="1"/>
  <c r="Q16" i="7" s="1"/>
  <c r="Q17" i="7" a="1"/>
  <c r="Q17" i="7" s="1"/>
  <c r="Q18" i="7" a="1"/>
  <c r="Q18" i="7" s="1"/>
  <c r="Q19" i="7" a="1"/>
  <c r="Q19" i="7" s="1"/>
  <c r="Q20" i="7" a="1"/>
  <c r="Q20" i="7" s="1"/>
  <c r="Q21" i="7" a="1"/>
  <c r="Q21" i="7"/>
  <c r="Q22" i="7" a="1"/>
  <c r="Q22" i="7" s="1"/>
  <c r="Q23" i="7" a="1"/>
  <c r="Q23" i="7" s="1"/>
  <c r="Q24" i="7" a="1"/>
  <c r="Q24" i="7" s="1"/>
  <c r="Q25" i="7" a="1"/>
  <c r="Q25" i="7" s="1"/>
  <c r="Q26" i="7" a="1"/>
  <c r="Q26" i="7" s="1"/>
  <c r="Q27" i="7" a="1"/>
  <c r="Q27" i="7"/>
  <c r="Q28" i="7" a="1"/>
  <c r="Q28" i="7" s="1"/>
  <c r="Q29" i="7" a="1"/>
  <c r="Q29" i="7" s="1"/>
  <c r="Q30" i="7" a="1"/>
  <c r="Q30" i="7" s="1"/>
  <c r="Q31" i="7" a="1"/>
  <c r="Q31" i="7" s="1"/>
  <c r="Q32" i="7" a="1"/>
  <c r="Q32" i="7" s="1"/>
  <c r="Q33" i="7" a="1"/>
  <c r="Q33" i="7"/>
  <c r="Q34" i="7" a="1"/>
  <c r="Q34" i="7" s="1"/>
  <c r="Q35" i="7" a="1"/>
  <c r="Q35" i="7" s="1"/>
  <c r="Q36" i="7" a="1"/>
  <c r="Q36" i="7" s="1"/>
  <c r="Q37" i="7" a="1"/>
  <c r="Q37" i="7" s="1"/>
  <c r="Q38" i="7" a="1"/>
  <c r="Q38" i="7" s="1"/>
  <c r="Q39" i="7" a="1"/>
  <c r="Q39" i="7"/>
  <c r="Q40" i="7" a="1"/>
  <c r="Q40" i="7" s="1"/>
  <c r="Q41" i="7" a="1"/>
  <c r="Q41" i="7" s="1"/>
  <c r="Q42" i="7" a="1"/>
  <c r="Q42" i="7" s="1"/>
  <c r="Q43" i="7" a="1"/>
  <c r="Q43" i="7" s="1"/>
  <c r="Q44" i="7" a="1"/>
  <c r="Q44" i="7" s="1"/>
  <c r="Q45" i="7" a="1"/>
  <c r="Q45" i="7"/>
  <c r="Q46" i="7" a="1"/>
  <c r="Q46" i="7" s="1"/>
  <c r="Q47" i="7" a="1"/>
  <c r="Q47" i="7" s="1"/>
  <c r="Q48" i="7" a="1"/>
  <c r="Q48" i="7" s="1"/>
  <c r="Q49" i="7" a="1"/>
  <c r="Q49" i="7" s="1"/>
  <c r="Q50" i="7" a="1"/>
  <c r="Q50" i="7" s="1"/>
  <c r="Q51" i="7" a="1"/>
  <c r="Q51" i="7"/>
  <c r="Q52" i="7" a="1"/>
  <c r="Q52" i="7" s="1"/>
  <c r="Q53" i="7" a="1"/>
  <c r="Q53" i="7" s="1"/>
  <c r="Q54" i="7" a="1"/>
  <c r="Q54" i="7" s="1"/>
  <c r="Q55" i="7" a="1"/>
  <c r="Q55" i="7" s="1"/>
  <c r="Q56" i="7" a="1"/>
  <c r="Q56" i="7" s="1"/>
  <c r="Q57" i="7" a="1"/>
  <c r="Q57" i="7"/>
  <c r="Q58" i="7" a="1"/>
  <c r="Q58" i="7" s="1"/>
  <c r="Q59" i="7" a="1"/>
  <c r="Q59" i="7" s="1"/>
  <c r="Q60" i="7" a="1"/>
  <c r="Q60" i="7" s="1"/>
  <c r="Q61" i="7" a="1"/>
  <c r="Q61" i="7" s="1"/>
  <c r="Q62" i="7" a="1"/>
  <c r="Q62" i="7" s="1"/>
  <c r="Q63" i="7" a="1"/>
  <c r="Q63" i="7"/>
  <c r="Q64" i="7" a="1"/>
  <c r="Q64" i="7" s="1"/>
  <c r="Q65" i="7" a="1"/>
  <c r="Q65" i="7" s="1"/>
  <c r="Q66" i="7" a="1"/>
  <c r="Q66" i="7" s="1"/>
  <c r="Q67" i="7" a="1"/>
  <c r="Q67" i="7" s="1"/>
  <c r="Q3" i="7" a="1"/>
  <c r="Q3" i="7" s="1"/>
  <c r="P4" i="7" a="1"/>
  <c r="P4" i="7"/>
  <c r="P5" i="7" a="1"/>
  <c r="P5" i="7" s="1"/>
  <c r="P6" i="7" a="1"/>
  <c r="P6" i="7" s="1"/>
  <c r="P7" i="7" a="1"/>
  <c r="P7" i="7" s="1"/>
  <c r="P8" i="7" a="1"/>
  <c r="P8" i="7"/>
  <c r="P9" i="7" a="1"/>
  <c r="P9" i="7" s="1"/>
  <c r="P10" i="7" a="1"/>
  <c r="P10" i="7" s="1"/>
  <c r="P11" i="7" a="1"/>
  <c r="P11" i="7" s="1"/>
  <c r="P12" i="7" a="1"/>
  <c r="P12" i="7" s="1"/>
  <c r="P13" i="7" a="1"/>
  <c r="P13" i="7" s="1"/>
  <c r="P14" i="7" a="1"/>
  <c r="P14" i="7"/>
  <c r="P15" i="7" a="1"/>
  <c r="P15" i="7" s="1"/>
  <c r="P16" i="7" a="1"/>
  <c r="P16" i="7" s="1"/>
  <c r="P17" i="7" a="1"/>
  <c r="P17" i="7" s="1"/>
  <c r="P18" i="7" a="1"/>
  <c r="P18" i="7" s="1"/>
  <c r="P19" i="7" a="1"/>
  <c r="P19" i="7" s="1"/>
  <c r="P20" i="7" a="1"/>
  <c r="P20" i="7"/>
  <c r="P21" i="7" a="1"/>
  <c r="P21" i="7" s="1"/>
  <c r="P22" i="7" a="1"/>
  <c r="P22" i="7" s="1"/>
  <c r="P23" i="7" a="1"/>
  <c r="P23" i="7" s="1"/>
  <c r="P24" i="7" a="1"/>
  <c r="P24" i="7" s="1"/>
  <c r="P25" i="7" a="1"/>
  <c r="P25" i="7" s="1"/>
  <c r="P26" i="7" a="1"/>
  <c r="P26" i="7"/>
  <c r="P27" i="7" a="1"/>
  <c r="P27" i="7" s="1"/>
  <c r="P28" i="7" a="1"/>
  <c r="P28" i="7" s="1"/>
  <c r="P29" i="7" a="1"/>
  <c r="P29" i="7" s="1"/>
  <c r="P30" i="7" a="1"/>
  <c r="P30" i="7" s="1"/>
  <c r="P31" i="7" a="1"/>
  <c r="P31" i="7" s="1"/>
  <c r="P32" i="7" a="1"/>
  <c r="P32" i="7"/>
  <c r="P33" i="7" a="1"/>
  <c r="P33" i="7" s="1"/>
  <c r="P34" i="7" a="1"/>
  <c r="P34" i="7" s="1"/>
  <c r="P35" i="7" a="1"/>
  <c r="P35" i="7" s="1"/>
  <c r="P36" i="7" a="1"/>
  <c r="P36" i="7" s="1"/>
  <c r="P37" i="7" a="1"/>
  <c r="P37" i="7" s="1"/>
  <c r="P38" i="7" a="1"/>
  <c r="P38" i="7"/>
  <c r="P39" i="7" a="1"/>
  <c r="P39" i="7" s="1"/>
  <c r="P40" i="7" a="1"/>
  <c r="P40" i="7" s="1"/>
  <c r="P41" i="7" a="1"/>
  <c r="P41" i="7" s="1"/>
  <c r="P42" i="7" a="1"/>
  <c r="P42" i="7" s="1"/>
  <c r="P43" i="7" a="1"/>
  <c r="P43" i="7" s="1"/>
  <c r="P44" i="7" a="1"/>
  <c r="P44" i="7"/>
  <c r="P45" i="7" a="1"/>
  <c r="P45" i="7" s="1"/>
  <c r="P46" i="7" a="1"/>
  <c r="P46" i="7" s="1"/>
  <c r="P47" i="7" a="1"/>
  <c r="P47" i="7" s="1"/>
  <c r="P48" i="7" a="1"/>
  <c r="P48" i="7" s="1"/>
  <c r="P49" i="7" a="1"/>
  <c r="P49" i="7" s="1"/>
  <c r="P50" i="7" a="1"/>
  <c r="P50" i="7"/>
  <c r="P51" i="7" a="1"/>
  <c r="P51" i="7" s="1"/>
  <c r="P52" i="7" a="1"/>
  <c r="P52" i="7" s="1"/>
  <c r="P53" i="7" a="1"/>
  <c r="P53" i="7" s="1"/>
  <c r="P54" i="7" a="1"/>
  <c r="P54" i="7" s="1"/>
  <c r="P55" i="7" a="1"/>
  <c r="P55" i="7" s="1"/>
  <c r="P56" i="7" a="1"/>
  <c r="P56" i="7"/>
  <c r="P57" i="7" a="1"/>
  <c r="P57" i="7" s="1"/>
  <c r="P58" i="7" a="1"/>
  <c r="P58" i="7" s="1"/>
  <c r="P59" i="7" a="1"/>
  <c r="P59" i="7" s="1"/>
  <c r="P60" i="7" a="1"/>
  <c r="P60" i="7" s="1"/>
  <c r="P61" i="7" a="1"/>
  <c r="P61" i="7" s="1"/>
  <c r="P62" i="7" a="1"/>
  <c r="P62" i="7"/>
  <c r="P63" i="7" a="1"/>
  <c r="P63" i="7" s="1"/>
  <c r="P64" i="7" a="1"/>
  <c r="P64" i="7" s="1"/>
  <c r="P65" i="7" a="1"/>
  <c r="P65" i="7" s="1"/>
  <c r="P66" i="7" a="1"/>
  <c r="P66" i="7" s="1"/>
  <c r="P67" i="7" a="1"/>
  <c r="P67" i="7" s="1"/>
  <c r="P3" i="7" a="1"/>
  <c r="P3" i="7" s="1"/>
  <c r="O4" i="7" a="1"/>
  <c r="O4" i="7" s="1"/>
  <c r="O5" i="7" a="1"/>
  <c r="O5" i="7" s="1"/>
  <c r="O6" i="7" a="1"/>
  <c r="O6" i="7" s="1"/>
  <c r="O7" i="7" a="1"/>
  <c r="O7" i="7" s="1"/>
  <c r="O8" i="7" a="1"/>
  <c r="O8" i="7"/>
  <c r="O9" i="7" a="1"/>
  <c r="O9" i="7" s="1"/>
  <c r="O10" i="7" a="1"/>
  <c r="O10" i="7" s="1"/>
  <c r="O11" i="7" a="1"/>
  <c r="O11" i="7" s="1"/>
  <c r="O12" i="7" a="1"/>
  <c r="O12" i="7" s="1"/>
  <c r="O13" i="7" a="1"/>
  <c r="O13" i="7" s="1"/>
  <c r="O14" i="7" a="1"/>
  <c r="O14" i="7"/>
  <c r="O15" i="7" a="1"/>
  <c r="O15" i="7" s="1"/>
  <c r="O16" i="7" a="1"/>
  <c r="O16" i="7" s="1"/>
  <c r="O17" i="7" a="1"/>
  <c r="O17" i="7" s="1"/>
  <c r="O18" i="7" a="1"/>
  <c r="O18" i="7" s="1"/>
  <c r="O19" i="7" a="1"/>
  <c r="O19" i="7" s="1"/>
  <c r="O20" i="7" a="1"/>
  <c r="O20" i="7"/>
  <c r="O21" i="7" a="1"/>
  <c r="O21" i="7" s="1"/>
  <c r="O22" i="7" a="1"/>
  <c r="O22" i="7" s="1"/>
  <c r="O23" i="7" a="1"/>
  <c r="O23" i="7" s="1"/>
  <c r="O24" i="7" a="1"/>
  <c r="O24" i="7" s="1"/>
  <c r="O25" i="7" a="1"/>
  <c r="O25" i="7" s="1"/>
  <c r="O26" i="7" a="1"/>
  <c r="O26" i="7"/>
  <c r="O27" i="7" a="1"/>
  <c r="O27" i="7" s="1"/>
  <c r="O28" i="7" a="1"/>
  <c r="O28" i="7" s="1"/>
  <c r="O29" i="7" a="1"/>
  <c r="O29" i="7" s="1"/>
  <c r="O30" i="7" a="1"/>
  <c r="O30" i="7" s="1"/>
  <c r="O31" i="7" a="1"/>
  <c r="O31" i="7" s="1"/>
  <c r="O32" i="7" a="1"/>
  <c r="O32" i="7"/>
  <c r="O33" i="7" a="1"/>
  <c r="O33" i="7" s="1"/>
  <c r="O34" i="7" a="1"/>
  <c r="O34" i="7" s="1"/>
  <c r="O35" i="7" a="1"/>
  <c r="O35" i="7" s="1"/>
  <c r="O36" i="7" a="1"/>
  <c r="O36" i="7" s="1"/>
  <c r="O37" i="7" a="1"/>
  <c r="O37" i="7" s="1"/>
  <c r="O38" i="7" a="1"/>
  <c r="O38" i="7"/>
  <c r="O39" i="7" a="1"/>
  <c r="O39" i="7" s="1"/>
  <c r="O40" i="7" a="1"/>
  <c r="O40" i="7" s="1"/>
  <c r="O41" i="7" a="1"/>
  <c r="O41" i="7" s="1"/>
  <c r="O42" i="7" a="1"/>
  <c r="O42" i="7" s="1"/>
  <c r="O43" i="7" a="1"/>
  <c r="O43" i="7" s="1"/>
  <c r="O44" i="7" a="1"/>
  <c r="O44" i="7"/>
  <c r="O45" i="7" a="1"/>
  <c r="O45" i="7" s="1"/>
  <c r="O46" i="7" a="1"/>
  <c r="O46" i="7" s="1"/>
  <c r="O47" i="7" a="1"/>
  <c r="O47" i="7" s="1"/>
  <c r="O48" i="7" a="1"/>
  <c r="O48" i="7" s="1"/>
  <c r="O49" i="7" a="1"/>
  <c r="O49" i="7" s="1"/>
  <c r="O50" i="7" a="1"/>
  <c r="O50" i="7"/>
  <c r="O51" i="7" a="1"/>
  <c r="O51" i="7" s="1"/>
  <c r="O52" i="7" a="1"/>
  <c r="O52" i="7" s="1"/>
  <c r="O53" i="7" a="1"/>
  <c r="O53" i="7" s="1"/>
  <c r="O54" i="7" a="1"/>
  <c r="O54" i="7" s="1"/>
  <c r="O55" i="7" a="1"/>
  <c r="O55" i="7" s="1"/>
  <c r="O56" i="7" a="1"/>
  <c r="O56" i="7"/>
  <c r="O57" i="7" a="1"/>
  <c r="O57" i="7" s="1"/>
  <c r="O58" i="7" a="1"/>
  <c r="O58" i="7" s="1"/>
  <c r="O59" i="7" a="1"/>
  <c r="O59" i="7" s="1"/>
  <c r="O60" i="7" a="1"/>
  <c r="O60" i="7" s="1"/>
  <c r="O61" i="7" a="1"/>
  <c r="O61" i="7" s="1"/>
  <c r="O62" i="7" a="1"/>
  <c r="O62" i="7"/>
  <c r="O63" i="7" a="1"/>
  <c r="O63" i="7" s="1"/>
  <c r="O64" i="7" a="1"/>
  <c r="O64" i="7" s="1"/>
  <c r="O65" i="7" a="1"/>
  <c r="O65" i="7" s="1"/>
  <c r="O66" i="7" a="1"/>
  <c r="O66" i="7" s="1"/>
  <c r="O67" i="7" a="1"/>
  <c r="O67" i="7" s="1"/>
  <c r="O3" i="7" a="1"/>
  <c r="O3" i="7" s="1"/>
  <c r="N4" i="7" a="1"/>
  <c r="N4" i="7" s="1"/>
  <c r="N5" i="7" a="1"/>
  <c r="N5" i="7" s="1"/>
  <c r="N6" i="7" a="1"/>
  <c r="N6" i="7" s="1"/>
  <c r="N7" i="7" a="1"/>
  <c r="N7" i="7" s="1"/>
  <c r="N8" i="7" a="1"/>
  <c r="N8" i="7"/>
  <c r="N9" i="7" a="1"/>
  <c r="N9" i="7"/>
  <c r="N10" i="7" a="1"/>
  <c r="N10" i="7" s="1"/>
  <c r="N11" i="7" a="1"/>
  <c r="N11" i="7" s="1"/>
  <c r="N12" i="7" a="1"/>
  <c r="N12" i="7" s="1"/>
  <c r="N13" i="7" a="1"/>
  <c r="N13" i="7" s="1"/>
  <c r="N14" i="7" a="1"/>
  <c r="N14" i="7"/>
  <c r="N15" i="7" a="1"/>
  <c r="N15" i="7"/>
  <c r="N16" i="7" a="1"/>
  <c r="N16" i="7" s="1"/>
  <c r="N17" i="7" a="1"/>
  <c r="N17" i="7" s="1"/>
  <c r="N18" i="7" a="1"/>
  <c r="N18" i="7" s="1"/>
  <c r="N19" i="7" a="1"/>
  <c r="N19" i="7" s="1"/>
  <c r="N20" i="7" a="1"/>
  <c r="N20" i="7" s="1"/>
  <c r="N21" i="7" a="1"/>
  <c r="N21" i="7"/>
  <c r="N22" i="7" a="1"/>
  <c r="N22" i="7" s="1"/>
  <c r="N23" i="7" a="1"/>
  <c r="N23" i="7" s="1"/>
  <c r="N24" i="7" a="1"/>
  <c r="N24" i="7" s="1"/>
  <c r="N25" i="7" a="1"/>
  <c r="N25" i="7" s="1"/>
  <c r="N26" i="7" a="1"/>
  <c r="N26" i="7"/>
  <c r="N27" i="7" a="1"/>
  <c r="N27" i="7"/>
  <c r="N28" i="7" a="1"/>
  <c r="N28" i="7" s="1"/>
  <c r="N29" i="7" a="1"/>
  <c r="N29" i="7" s="1"/>
  <c r="N30" i="7" a="1"/>
  <c r="N30" i="7" s="1"/>
  <c r="N31" i="7" a="1"/>
  <c r="N31" i="7" s="1"/>
  <c r="N32" i="7" a="1"/>
  <c r="N32" i="7"/>
  <c r="N33" i="7" a="1"/>
  <c r="N33" i="7"/>
  <c r="N34" i="7" a="1"/>
  <c r="N34" i="7" s="1"/>
  <c r="N35" i="7" a="1"/>
  <c r="N35" i="7" s="1"/>
  <c r="N36" i="7" a="1"/>
  <c r="N36" i="7" s="1"/>
  <c r="N37" i="7" a="1"/>
  <c r="N37" i="7" s="1"/>
  <c r="N38" i="7" a="1"/>
  <c r="N38" i="7"/>
  <c r="N39" i="7" a="1"/>
  <c r="N39" i="7"/>
  <c r="N40" i="7" a="1"/>
  <c r="N40" i="7" s="1"/>
  <c r="N41" i="7" a="1"/>
  <c r="N41" i="7" s="1"/>
  <c r="N42" i="7" a="1"/>
  <c r="N42" i="7" s="1"/>
  <c r="N43" i="7" a="1"/>
  <c r="N43" i="7" s="1"/>
  <c r="N44" i="7" a="1"/>
  <c r="N44" i="7"/>
  <c r="N45" i="7" a="1"/>
  <c r="N45" i="7"/>
  <c r="N46" i="7" a="1"/>
  <c r="N46" i="7" s="1"/>
  <c r="N47" i="7" a="1"/>
  <c r="N47" i="7" s="1"/>
  <c r="N48" i="7" a="1"/>
  <c r="N48" i="7" s="1"/>
  <c r="N49" i="7" a="1"/>
  <c r="N49" i="7" s="1"/>
  <c r="N50" i="7" a="1"/>
  <c r="N50" i="7"/>
  <c r="N51" i="7" a="1"/>
  <c r="N51" i="7"/>
  <c r="N52" i="7" a="1"/>
  <c r="N52" i="7" s="1"/>
  <c r="N53" i="7" a="1"/>
  <c r="N53" i="7" s="1"/>
  <c r="N54" i="7" a="1"/>
  <c r="N54" i="7" s="1"/>
  <c r="N55" i="7" a="1"/>
  <c r="N55" i="7" s="1"/>
  <c r="N56" i="7" a="1"/>
  <c r="N56" i="7"/>
  <c r="N57" i="7" a="1"/>
  <c r="N57" i="7"/>
  <c r="N58" i="7" a="1"/>
  <c r="N58" i="7" s="1"/>
  <c r="N59" i="7" a="1"/>
  <c r="N59" i="7" s="1"/>
  <c r="N60" i="7" a="1"/>
  <c r="N60" i="7" s="1"/>
  <c r="N61" i="7" a="1"/>
  <c r="N61" i="7" s="1"/>
  <c r="N62" i="7" a="1"/>
  <c r="N62" i="7"/>
  <c r="N63" i="7" a="1"/>
  <c r="N63" i="7"/>
  <c r="N64" i="7" a="1"/>
  <c r="N64" i="7" s="1"/>
  <c r="N65" i="7" a="1"/>
  <c r="N65" i="7" s="1"/>
  <c r="N66" i="7" a="1"/>
  <c r="N66" i="7" s="1"/>
  <c r="N67" i="7" a="1"/>
  <c r="N67" i="7" s="1"/>
  <c r="N3" i="7" a="1"/>
  <c r="N3" i="7"/>
  <c r="M3" i="7" a="1"/>
  <c r="M3" i="7"/>
  <c r="M4" i="7" a="1"/>
  <c r="M4" i="7" s="1"/>
  <c r="M5" i="7" a="1"/>
  <c r="M5" i="7" s="1"/>
  <c r="M6" i="7" a="1"/>
  <c r="M6" i="7" s="1"/>
  <c r="M7" i="7" a="1"/>
  <c r="M7" i="7" s="1"/>
  <c r="M8" i="7" a="1"/>
  <c r="M8" i="7"/>
  <c r="M9" i="7" a="1"/>
  <c r="M9" i="7" s="1"/>
  <c r="M10" i="7" a="1"/>
  <c r="M10" i="7" s="1"/>
  <c r="M11" i="7" a="1"/>
  <c r="M11" i="7" s="1"/>
  <c r="M12" i="7" a="1"/>
  <c r="M12" i="7" s="1"/>
  <c r="M13" i="7" a="1"/>
  <c r="M13" i="7" s="1"/>
  <c r="M14" i="7" a="1"/>
  <c r="M14" i="7"/>
  <c r="M15" i="7" a="1"/>
  <c r="M15" i="7" s="1"/>
  <c r="M16" i="7" a="1"/>
  <c r="M16" i="7" s="1"/>
  <c r="M17" i="7" a="1"/>
  <c r="M17" i="7" s="1"/>
  <c r="M18" i="7" a="1"/>
  <c r="M18" i="7" s="1"/>
  <c r="M19" i="7" a="1"/>
  <c r="M19" i="7" s="1"/>
  <c r="M20" i="7" a="1"/>
  <c r="M20" i="7"/>
  <c r="M21" i="7" a="1"/>
  <c r="M21" i="7" s="1"/>
  <c r="M22" i="7" a="1"/>
  <c r="M22" i="7" s="1"/>
  <c r="M23" i="7" a="1"/>
  <c r="M23" i="7" s="1"/>
  <c r="M24" i="7" a="1"/>
  <c r="M24" i="7" s="1"/>
  <c r="M25" i="7" a="1"/>
  <c r="M25" i="7" s="1"/>
  <c r="M26" i="7" a="1"/>
  <c r="M26" i="7"/>
  <c r="M27" i="7" a="1"/>
  <c r="M27" i="7" s="1"/>
  <c r="M28" i="7" a="1"/>
  <c r="M28" i="7" s="1"/>
  <c r="M29" i="7" a="1"/>
  <c r="M29" i="7" s="1"/>
  <c r="M30" i="7" a="1"/>
  <c r="M30" i="7" s="1"/>
  <c r="M31" i="7" a="1"/>
  <c r="M31" i="7" s="1"/>
  <c r="M32" i="7" a="1"/>
  <c r="M32" i="7"/>
  <c r="M33" i="7" a="1"/>
  <c r="M33" i="7" s="1"/>
  <c r="M34" i="7" a="1"/>
  <c r="M34" i="7" s="1"/>
  <c r="M35" i="7" a="1"/>
  <c r="M35" i="7" s="1"/>
  <c r="M36" i="7" a="1"/>
  <c r="M36" i="7" s="1"/>
  <c r="M37" i="7" a="1"/>
  <c r="M37" i="7" s="1"/>
  <c r="M38" i="7" a="1"/>
  <c r="M38" i="7"/>
  <c r="M39" i="7" a="1"/>
  <c r="M39" i="7" s="1"/>
  <c r="M40" i="7" a="1"/>
  <c r="M40" i="7" s="1"/>
  <c r="M41" i="7" a="1"/>
  <c r="M41" i="7" s="1"/>
  <c r="M42" i="7" a="1"/>
  <c r="M42" i="7" s="1"/>
  <c r="M43" i="7" a="1"/>
  <c r="M43" i="7" s="1"/>
  <c r="M44" i="7" a="1"/>
  <c r="M44" i="7"/>
  <c r="M45" i="7" a="1"/>
  <c r="M45" i="7" s="1"/>
  <c r="M46" i="7" a="1"/>
  <c r="M46" i="7" s="1"/>
  <c r="M47" i="7" a="1"/>
  <c r="M47" i="7" s="1"/>
  <c r="M48" i="7" a="1"/>
  <c r="M48" i="7" s="1"/>
  <c r="M49" i="7" a="1"/>
  <c r="M49" i="7" s="1"/>
  <c r="M50" i="7" a="1"/>
  <c r="M50" i="7"/>
  <c r="M51" i="7" a="1"/>
  <c r="M51" i="7" s="1"/>
  <c r="M52" i="7" a="1"/>
  <c r="M52" i="7" s="1"/>
  <c r="M53" i="7" a="1"/>
  <c r="M53" i="7" s="1"/>
  <c r="M54" i="7" a="1"/>
  <c r="M54" i="7" s="1"/>
  <c r="M55" i="7" a="1"/>
  <c r="M55" i="7" s="1"/>
  <c r="M56" i="7" a="1"/>
  <c r="M56" i="7"/>
  <c r="M57" i="7" a="1"/>
  <c r="M57" i="7" s="1"/>
  <c r="M58" i="7" a="1"/>
  <c r="M58" i="7" s="1"/>
  <c r="M59" i="7" a="1"/>
  <c r="M59" i="7" s="1"/>
  <c r="M60" i="7" a="1"/>
  <c r="M60" i="7" s="1"/>
  <c r="M61" i="7" a="1"/>
  <c r="M61" i="7" s="1"/>
  <c r="M62" i="7" a="1"/>
  <c r="M62" i="7"/>
  <c r="M63" i="7" a="1"/>
  <c r="M63" i="7" s="1"/>
  <c r="M64" i="7" a="1"/>
  <c r="M64" i="7" s="1"/>
  <c r="M65" i="7" a="1"/>
  <c r="M65" i="7" s="1"/>
  <c r="M66" i="7" a="1"/>
  <c r="M66" i="7" s="1"/>
  <c r="M67" i="7" a="1"/>
  <c r="M67" i="7" s="1"/>
  <c r="N2" i="7"/>
  <c r="O2" i="7"/>
  <c r="P2" i="7"/>
  <c r="Q2" i="7"/>
  <c r="R2" i="7"/>
  <c r="S2" i="7"/>
  <c r="T2" i="7"/>
  <c r="U2" i="7"/>
  <c r="M2" i="7"/>
  <c r="J4" i="7" a="1"/>
  <c r="J4" i="7" s="1"/>
  <c r="J5" i="7" a="1"/>
  <c r="J5" i="7" s="1"/>
  <c r="J6" i="7" a="1"/>
  <c r="J6" i="7" s="1"/>
  <c r="J7" i="7" a="1"/>
  <c r="J7" i="7" s="1"/>
  <c r="J8" i="7" a="1"/>
  <c r="J8" i="7"/>
  <c r="J9" i="7" a="1"/>
  <c r="J9" i="7" s="1"/>
  <c r="J10" i="7" a="1"/>
  <c r="J10" i="7" s="1"/>
  <c r="J11" i="7" a="1"/>
  <c r="J11" i="7" s="1"/>
  <c r="J12" i="7" a="1"/>
  <c r="J12" i="7" s="1"/>
  <c r="J13" i="7" a="1"/>
  <c r="J13" i="7" s="1"/>
  <c r="J14" i="7" a="1"/>
  <c r="J14" i="7"/>
  <c r="J15" i="7" a="1"/>
  <c r="J15" i="7" s="1"/>
  <c r="J16" i="7" a="1"/>
  <c r="J16" i="7" s="1"/>
  <c r="J17" i="7" a="1"/>
  <c r="J17" i="7" s="1"/>
  <c r="J18" i="7" a="1"/>
  <c r="J18" i="7" s="1"/>
  <c r="J19" i="7" a="1"/>
  <c r="J19" i="7" s="1"/>
  <c r="J20" i="7" a="1"/>
  <c r="J20" i="7"/>
  <c r="J21" i="7" a="1"/>
  <c r="J21" i="7" s="1"/>
  <c r="J22" i="7" a="1"/>
  <c r="J22" i="7" s="1"/>
  <c r="J23" i="7" a="1"/>
  <c r="J23" i="7" s="1"/>
  <c r="J24" i="7" a="1"/>
  <c r="J24" i="7" s="1"/>
  <c r="J25" i="7" a="1"/>
  <c r="J25" i="7" s="1"/>
  <c r="J26" i="7" a="1"/>
  <c r="J26" i="7"/>
  <c r="J27" i="7" a="1"/>
  <c r="J27" i="7" s="1"/>
  <c r="J28" i="7" a="1"/>
  <c r="J28" i="7" s="1"/>
  <c r="J29" i="7" a="1"/>
  <c r="J29" i="7" s="1"/>
  <c r="J30" i="7" a="1"/>
  <c r="J30" i="7" s="1"/>
  <c r="J31" i="7" a="1"/>
  <c r="J31" i="7" s="1"/>
  <c r="J32" i="7" a="1"/>
  <c r="J32" i="7"/>
  <c r="J33" i="7" a="1"/>
  <c r="J33" i="7" s="1"/>
  <c r="J34" i="7" a="1"/>
  <c r="J34" i="7" s="1"/>
  <c r="J35" i="7" a="1"/>
  <c r="J35" i="7" s="1"/>
  <c r="J36" i="7" a="1"/>
  <c r="J36" i="7" s="1"/>
  <c r="J37" i="7" a="1"/>
  <c r="J37" i="7" s="1"/>
  <c r="J38" i="7" a="1"/>
  <c r="J38" i="7"/>
  <c r="J39" i="7" a="1"/>
  <c r="J39" i="7" s="1"/>
  <c r="J40" i="7" a="1"/>
  <c r="J40" i="7" s="1"/>
  <c r="J41" i="7" a="1"/>
  <c r="J41" i="7" s="1"/>
  <c r="J42" i="7" a="1"/>
  <c r="J42" i="7" s="1"/>
  <c r="J43" i="7" a="1"/>
  <c r="J43" i="7" s="1"/>
  <c r="J44" i="7" a="1"/>
  <c r="J44" i="7"/>
  <c r="J45" i="7" a="1"/>
  <c r="J45" i="7" s="1"/>
  <c r="J46" i="7" a="1"/>
  <c r="J46" i="7" s="1"/>
  <c r="J47" i="7" a="1"/>
  <c r="J47" i="7" s="1"/>
  <c r="J48" i="7" a="1"/>
  <c r="J48" i="7" s="1"/>
  <c r="J49" i="7" a="1"/>
  <c r="J49" i="7" s="1"/>
  <c r="J50" i="7" a="1"/>
  <c r="J50" i="7"/>
  <c r="J51" i="7" a="1"/>
  <c r="J51" i="7" s="1"/>
  <c r="J52" i="7" a="1"/>
  <c r="J52" i="7" s="1"/>
  <c r="J53" i="7" a="1"/>
  <c r="J53" i="7" s="1"/>
  <c r="J54" i="7" a="1"/>
  <c r="J54" i="7" s="1"/>
  <c r="J55" i="7" a="1"/>
  <c r="J55" i="7" s="1"/>
  <c r="J56" i="7" a="1"/>
  <c r="J56" i="7"/>
  <c r="J57" i="7" a="1"/>
  <c r="J57" i="7" s="1"/>
  <c r="J58" i="7" a="1"/>
  <c r="J58" i="7" s="1"/>
  <c r="J59" i="7" a="1"/>
  <c r="J59" i="7" s="1"/>
  <c r="J60" i="7" a="1"/>
  <c r="J60" i="7" s="1"/>
  <c r="J61" i="7" a="1"/>
  <c r="J61" i="7" s="1"/>
  <c r="J62" i="7" a="1"/>
  <c r="J62" i="7"/>
  <c r="J63" i="7" a="1"/>
  <c r="J63" i="7" s="1"/>
  <c r="J64" i="7" a="1"/>
  <c r="J64" i="7" s="1"/>
  <c r="J65" i="7" a="1"/>
  <c r="J65" i="7" s="1"/>
  <c r="J66" i="7" a="1"/>
  <c r="J66" i="7" s="1"/>
  <c r="J67" i="7" a="1"/>
  <c r="J67" i="7" s="1"/>
  <c r="I4" i="7" a="1"/>
  <c r="I4" i="7"/>
  <c r="I5" i="7" a="1"/>
  <c r="I5" i="7" s="1"/>
  <c r="I6" i="7" a="1"/>
  <c r="I6" i="7" s="1"/>
  <c r="I7" i="7" a="1"/>
  <c r="I7" i="7" s="1"/>
  <c r="I8" i="7" a="1"/>
  <c r="I8" i="7"/>
  <c r="I9" i="7" a="1"/>
  <c r="I9" i="7" s="1"/>
  <c r="I10" i="7" a="1"/>
  <c r="I10" i="7" s="1"/>
  <c r="I11" i="7" a="1"/>
  <c r="I11" i="7" s="1"/>
  <c r="I12" i="7" a="1"/>
  <c r="I12" i="7" s="1"/>
  <c r="I13" i="7" a="1"/>
  <c r="I13" i="7" s="1"/>
  <c r="I14" i="7" a="1"/>
  <c r="I14" i="7"/>
  <c r="I15" i="7" a="1"/>
  <c r="I15" i="7" s="1"/>
  <c r="I16" i="7" a="1"/>
  <c r="I16" i="7" s="1"/>
  <c r="I17" i="7" a="1"/>
  <c r="I17" i="7" s="1"/>
  <c r="I18" i="7" a="1"/>
  <c r="I18" i="7" s="1"/>
  <c r="I19" i="7" a="1"/>
  <c r="I19" i="7" s="1"/>
  <c r="I20" i="7" a="1"/>
  <c r="I20" i="7"/>
  <c r="I21" i="7" a="1"/>
  <c r="I21" i="7" s="1"/>
  <c r="I22" i="7" a="1"/>
  <c r="I22" i="7" s="1"/>
  <c r="I23" i="7" a="1"/>
  <c r="I23" i="7" s="1"/>
  <c r="I24" i="7" a="1"/>
  <c r="I24" i="7" s="1"/>
  <c r="I25" i="7" a="1"/>
  <c r="I25" i="7" s="1"/>
  <c r="I26" i="7" a="1"/>
  <c r="I26" i="7"/>
  <c r="I27" i="7" a="1"/>
  <c r="I27" i="7" s="1"/>
  <c r="I28" i="7" a="1"/>
  <c r="I28" i="7" s="1"/>
  <c r="I29" i="7" a="1"/>
  <c r="I29" i="7" s="1"/>
  <c r="I30" i="7" a="1"/>
  <c r="I30" i="7" s="1"/>
  <c r="I31" i="7" a="1"/>
  <c r="I31" i="7" s="1"/>
  <c r="I32" i="7" a="1"/>
  <c r="I32" i="7"/>
  <c r="I33" i="7" a="1"/>
  <c r="I33" i="7" s="1"/>
  <c r="I34" i="7" a="1"/>
  <c r="I34" i="7" s="1"/>
  <c r="I35" i="7" a="1"/>
  <c r="I35" i="7" s="1"/>
  <c r="I36" i="7" a="1"/>
  <c r="I36" i="7" s="1"/>
  <c r="I37" i="7" a="1"/>
  <c r="I37" i="7" s="1"/>
  <c r="I38" i="7" a="1"/>
  <c r="I38" i="7"/>
  <c r="I39" i="7" a="1"/>
  <c r="I39" i="7" s="1"/>
  <c r="I40" i="7" a="1"/>
  <c r="I40" i="7" s="1"/>
  <c r="I41" i="7" a="1"/>
  <c r="I41" i="7" s="1"/>
  <c r="I42" i="7" a="1"/>
  <c r="I42" i="7" s="1"/>
  <c r="I43" i="7" a="1"/>
  <c r="I43" i="7" s="1"/>
  <c r="I44" i="7" a="1"/>
  <c r="I44" i="7"/>
  <c r="I45" i="7" a="1"/>
  <c r="I45" i="7" s="1"/>
  <c r="I46" i="7" a="1"/>
  <c r="I46" i="7" s="1"/>
  <c r="I47" i="7" a="1"/>
  <c r="I47" i="7" s="1"/>
  <c r="I48" i="7" a="1"/>
  <c r="I48" i="7" s="1"/>
  <c r="I49" i="7" a="1"/>
  <c r="I49" i="7" s="1"/>
  <c r="I50" i="7" a="1"/>
  <c r="I50" i="7"/>
  <c r="I51" i="7" a="1"/>
  <c r="I51" i="7" s="1"/>
  <c r="I52" i="7" a="1"/>
  <c r="I52" i="7" s="1"/>
  <c r="I53" i="7" a="1"/>
  <c r="I53" i="7" s="1"/>
  <c r="I54" i="7" a="1"/>
  <c r="I54" i="7" s="1"/>
  <c r="I55" i="7" a="1"/>
  <c r="I55" i="7" s="1"/>
  <c r="I56" i="7" a="1"/>
  <c r="I56" i="7"/>
  <c r="I57" i="7" a="1"/>
  <c r="I57" i="7" s="1"/>
  <c r="I58" i="7" a="1"/>
  <c r="I58" i="7" s="1"/>
  <c r="I59" i="7" a="1"/>
  <c r="I59" i="7" s="1"/>
  <c r="I60" i="7" a="1"/>
  <c r="I60" i="7" s="1"/>
  <c r="I61" i="7" a="1"/>
  <c r="I61" i="7" s="1"/>
  <c r="I62" i="7" a="1"/>
  <c r="I62" i="7"/>
  <c r="I63" i="7" a="1"/>
  <c r="I63" i="7" s="1"/>
  <c r="I64" i="7" a="1"/>
  <c r="I64" i="7" s="1"/>
  <c r="I65" i="7" a="1"/>
  <c r="I65" i="7" s="1"/>
  <c r="I66" i="7" a="1"/>
  <c r="I66" i="7" s="1"/>
  <c r="I67" i="7" a="1"/>
  <c r="I67" i="7" s="1"/>
  <c r="H4" i="7" a="1"/>
  <c r="H4" i="7" s="1"/>
  <c r="H5" i="7" a="1"/>
  <c r="H5" i="7" s="1"/>
  <c r="H6" i="7" a="1"/>
  <c r="H6" i="7"/>
  <c r="H7" i="7" a="1"/>
  <c r="H7" i="7" s="1"/>
  <c r="H8" i="7" a="1"/>
  <c r="H8" i="7" s="1"/>
  <c r="H9" i="7" a="1"/>
  <c r="H9" i="7" s="1"/>
  <c r="H10" i="7" a="1"/>
  <c r="H10" i="7" s="1"/>
  <c r="H11" i="7" a="1"/>
  <c r="H11" i="7" s="1"/>
  <c r="H12" i="7" a="1"/>
  <c r="H12" i="7"/>
  <c r="H13" i="7" a="1"/>
  <c r="H13" i="7" s="1"/>
  <c r="H14" i="7" a="1"/>
  <c r="H14" i="7" s="1"/>
  <c r="H15" i="7" a="1"/>
  <c r="H15" i="7" s="1"/>
  <c r="H16" i="7" a="1"/>
  <c r="H16" i="7" s="1"/>
  <c r="H17" i="7" a="1"/>
  <c r="H17" i="7" s="1"/>
  <c r="H18" i="7" a="1"/>
  <c r="H18" i="7" s="1"/>
  <c r="H19" i="7" a="1"/>
  <c r="H19" i="7" s="1"/>
  <c r="H20" i="7" a="1"/>
  <c r="H20" i="7" s="1"/>
  <c r="H21" i="7" a="1"/>
  <c r="H21" i="7" s="1"/>
  <c r="H22" i="7" a="1"/>
  <c r="H22" i="7" s="1"/>
  <c r="H23" i="7" a="1"/>
  <c r="H23" i="7" s="1"/>
  <c r="H24" i="7" a="1"/>
  <c r="H24" i="7" s="1"/>
  <c r="H25" i="7" a="1"/>
  <c r="H25" i="7" s="1"/>
  <c r="H26" i="7" a="1"/>
  <c r="H26" i="7" s="1"/>
  <c r="H27" i="7" a="1"/>
  <c r="H27" i="7" s="1"/>
  <c r="H28" i="7" a="1"/>
  <c r="H28" i="7" s="1"/>
  <c r="H29" i="7" a="1"/>
  <c r="H29" i="7" s="1"/>
  <c r="H30" i="7" a="1"/>
  <c r="H30" i="7" s="1"/>
  <c r="H31" i="7" a="1"/>
  <c r="H31" i="7" s="1"/>
  <c r="H32" i="7" a="1"/>
  <c r="H32" i="7" s="1"/>
  <c r="H33" i="7" a="1"/>
  <c r="H33" i="7" s="1"/>
  <c r="H34" i="7" a="1"/>
  <c r="H34" i="7" s="1"/>
  <c r="H35" i="7" a="1"/>
  <c r="H35" i="7" s="1"/>
  <c r="H36" i="7" a="1"/>
  <c r="H36" i="7" s="1"/>
  <c r="H37" i="7" a="1"/>
  <c r="H37" i="7" s="1"/>
  <c r="H38" i="7" a="1"/>
  <c r="H38" i="7" s="1"/>
  <c r="H39" i="7" a="1"/>
  <c r="H39" i="7" s="1"/>
  <c r="H40" i="7" a="1"/>
  <c r="H40" i="7" s="1"/>
  <c r="H41" i="7" a="1"/>
  <c r="H41" i="7" s="1"/>
  <c r="H42" i="7" a="1"/>
  <c r="H42" i="7" s="1"/>
  <c r="H43" i="7" a="1"/>
  <c r="H43" i="7" s="1"/>
  <c r="H44" i="7" a="1"/>
  <c r="H44" i="7" s="1"/>
  <c r="H45" i="7" a="1"/>
  <c r="H45" i="7" s="1"/>
  <c r="H46" i="7" a="1"/>
  <c r="H46" i="7" s="1"/>
  <c r="H47" i="7" a="1"/>
  <c r="H47" i="7" s="1"/>
  <c r="H48" i="7" a="1"/>
  <c r="H48" i="7" s="1"/>
  <c r="H49" i="7" a="1"/>
  <c r="H49" i="7" s="1"/>
  <c r="H50" i="7" a="1"/>
  <c r="H50" i="7" s="1"/>
  <c r="H51" i="7" a="1"/>
  <c r="H51" i="7" s="1"/>
  <c r="H52" i="7" a="1"/>
  <c r="H52" i="7" s="1"/>
  <c r="H53" i="7" a="1"/>
  <c r="H53" i="7" s="1"/>
  <c r="H54" i="7" a="1"/>
  <c r="H54" i="7" s="1"/>
  <c r="H55" i="7" a="1"/>
  <c r="H55" i="7" s="1"/>
  <c r="H56" i="7" a="1"/>
  <c r="H56" i="7" s="1"/>
  <c r="H57" i="7" a="1"/>
  <c r="H57" i="7" s="1"/>
  <c r="H58" i="7" a="1"/>
  <c r="H58" i="7" s="1"/>
  <c r="H59" i="7" a="1"/>
  <c r="H59" i="7" s="1"/>
  <c r="H60" i="7" a="1"/>
  <c r="H60" i="7" s="1"/>
  <c r="H61" i="7" a="1"/>
  <c r="H61" i="7" s="1"/>
  <c r="H62" i="7" a="1"/>
  <c r="H62" i="7" s="1"/>
  <c r="H63" i="7" a="1"/>
  <c r="H63" i="7" s="1"/>
  <c r="H64" i="7" a="1"/>
  <c r="H64" i="7" s="1"/>
  <c r="H65" i="7" a="1"/>
  <c r="H65" i="7" s="1"/>
  <c r="H66" i="7" a="1"/>
  <c r="H66" i="7" s="1"/>
  <c r="H67" i="7" a="1"/>
  <c r="H67" i="7" s="1"/>
  <c r="G4" i="7" a="1"/>
  <c r="G4" i="7" s="1"/>
  <c r="G5" i="7" a="1"/>
  <c r="G5" i="7" s="1"/>
  <c r="G6" i="7" a="1"/>
  <c r="G6" i="7" s="1"/>
  <c r="G7" i="7" a="1"/>
  <c r="G7" i="7" s="1"/>
  <c r="G8" i="7" a="1"/>
  <c r="G8" i="7" s="1"/>
  <c r="G9" i="7" a="1"/>
  <c r="G9" i="7" s="1"/>
  <c r="G10" i="7" a="1"/>
  <c r="G10" i="7" s="1"/>
  <c r="G11" i="7" a="1"/>
  <c r="G11" i="7" s="1"/>
  <c r="G12" i="7" a="1"/>
  <c r="G12" i="7" s="1"/>
  <c r="G13" i="7" a="1"/>
  <c r="G13" i="7" s="1"/>
  <c r="G14" i="7" a="1"/>
  <c r="G14" i="7" s="1"/>
  <c r="G15" i="7" a="1"/>
  <c r="G15" i="7"/>
  <c r="G16" i="7" a="1"/>
  <c r="G16" i="7" s="1"/>
  <c r="G17" i="7" a="1"/>
  <c r="G17" i="7" s="1"/>
  <c r="G18" i="7" a="1"/>
  <c r="G18" i="7" s="1"/>
  <c r="G19" i="7" a="1"/>
  <c r="G19" i="7" s="1"/>
  <c r="G20" i="7" a="1"/>
  <c r="G20" i="7" s="1"/>
  <c r="G21" i="7" a="1"/>
  <c r="G21" i="7" s="1"/>
  <c r="G22" i="7" a="1"/>
  <c r="G22" i="7" s="1"/>
  <c r="G23" i="7" a="1"/>
  <c r="G23" i="7" s="1"/>
  <c r="G24" i="7" a="1"/>
  <c r="G24" i="7" s="1"/>
  <c r="G25" i="7" a="1"/>
  <c r="G25" i="7" s="1"/>
  <c r="G26" i="7" a="1"/>
  <c r="G26" i="7" s="1"/>
  <c r="G27" i="7" a="1"/>
  <c r="G27" i="7" s="1"/>
  <c r="G28" i="7" a="1"/>
  <c r="G28" i="7" s="1"/>
  <c r="G29" i="7" a="1"/>
  <c r="G29" i="7" s="1"/>
  <c r="G30" i="7" a="1"/>
  <c r="G30" i="7" s="1"/>
  <c r="G31" i="7" a="1"/>
  <c r="G31" i="7" s="1"/>
  <c r="G32" i="7" a="1"/>
  <c r="G32" i="7" s="1"/>
  <c r="G33" i="7" a="1"/>
  <c r="G33" i="7"/>
  <c r="G34" i="7" a="1"/>
  <c r="G34" i="7" s="1"/>
  <c r="G35" i="7" a="1"/>
  <c r="G35" i="7" s="1"/>
  <c r="G36" i="7" a="1"/>
  <c r="G36" i="7" s="1"/>
  <c r="G37" i="7" a="1"/>
  <c r="G37" i="7" s="1"/>
  <c r="G38" i="7" a="1"/>
  <c r="G38" i="7" s="1"/>
  <c r="G39" i="7" a="1"/>
  <c r="G39" i="7"/>
  <c r="G40" i="7" a="1"/>
  <c r="G40" i="7" s="1"/>
  <c r="G41" i="7" a="1"/>
  <c r="G41" i="7" s="1"/>
  <c r="G42" i="7" a="1"/>
  <c r="G42" i="7" s="1"/>
  <c r="G43" i="7" a="1"/>
  <c r="G43" i="7" s="1"/>
  <c r="G44" i="7" a="1"/>
  <c r="G44" i="7" s="1"/>
  <c r="G45" i="7" a="1"/>
  <c r="G45" i="7" s="1"/>
  <c r="G46" i="7" a="1"/>
  <c r="G46" i="7" s="1"/>
  <c r="G47" i="7" a="1"/>
  <c r="G47" i="7" s="1"/>
  <c r="G48" i="7" a="1"/>
  <c r="G48" i="7" s="1"/>
  <c r="G49" i="7" a="1"/>
  <c r="G49" i="7" s="1"/>
  <c r="G50" i="7" a="1"/>
  <c r="G50" i="7" s="1"/>
  <c r="G51" i="7" a="1"/>
  <c r="G51" i="7" s="1"/>
  <c r="G52" i="7" a="1"/>
  <c r="G52" i="7" s="1"/>
  <c r="G53" i="7" a="1"/>
  <c r="G53" i="7" s="1"/>
  <c r="G54" i="7" a="1"/>
  <c r="G54" i="7" s="1"/>
  <c r="G55" i="7" a="1"/>
  <c r="G55" i="7" s="1"/>
  <c r="G56" i="7" a="1"/>
  <c r="G56" i="7" s="1"/>
  <c r="G57" i="7" a="1"/>
  <c r="G57" i="7"/>
  <c r="G58" i="7" a="1"/>
  <c r="G58" i="7" s="1"/>
  <c r="G59" i="7" a="1"/>
  <c r="G59" i="7" s="1"/>
  <c r="G60" i="7" a="1"/>
  <c r="G60" i="7" s="1"/>
  <c r="G61" i="7" a="1"/>
  <c r="G61" i="7" s="1"/>
  <c r="G62" i="7" a="1"/>
  <c r="G62" i="7" s="1"/>
  <c r="G63" i="7" a="1"/>
  <c r="G63" i="7"/>
  <c r="G64" i="7" a="1"/>
  <c r="G64" i="7" s="1"/>
  <c r="G65" i="7" a="1"/>
  <c r="G65" i="7" s="1"/>
  <c r="G66" i="7" a="1"/>
  <c r="G66" i="7" s="1"/>
  <c r="G67" i="7" a="1"/>
  <c r="G67" i="7" s="1"/>
  <c r="F4" i="7" a="1"/>
  <c r="F4" i="7" s="1"/>
  <c r="F5" i="7" a="1"/>
  <c r="F5" i="7" s="1"/>
  <c r="F6" i="7" a="1"/>
  <c r="F6" i="7" s="1"/>
  <c r="F7" i="7" a="1"/>
  <c r="F7" i="7" s="1"/>
  <c r="F8" i="7" a="1"/>
  <c r="F8" i="7"/>
  <c r="F9" i="7" a="1"/>
  <c r="F9" i="7" s="1"/>
  <c r="F10" i="7" a="1"/>
  <c r="F10" i="7" s="1"/>
  <c r="F11" i="7" a="1"/>
  <c r="F11" i="7" s="1"/>
  <c r="F12" i="7" a="1"/>
  <c r="F12" i="7" s="1"/>
  <c r="F13" i="7" a="1"/>
  <c r="F13" i="7" s="1"/>
  <c r="F14" i="7" a="1"/>
  <c r="F14" i="7"/>
  <c r="F15" i="7" a="1"/>
  <c r="F15" i="7" s="1"/>
  <c r="F16" i="7" a="1"/>
  <c r="F16" i="7" s="1"/>
  <c r="F17" i="7" a="1"/>
  <c r="F17" i="7" s="1"/>
  <c r="F18" i="7" a="1"/>
  <c r="F18" i="7" s="1"/>
  <c r="F19" i="7" a="1"/>
  <c r="F19" i="7" s="1"/>
  <c r="F20" i="7" a="1"/>
  <c r="F20" i="7"/>
  <c r="F21" i="7" a="1"/>
  <c r="F21" i="7" s="1"/>
  <c r="F22" i="7" a="1"/>
  <c r="F22" i="7" s="1"/>
  <c r="F23" i="7" a="1"/>
  <c r="F23" i="7" s="1"/>
  <c r="F24" i="7" a="1"/>
  <c r="F24" i="7" s="1"/>
  <c r="F25" i="7" a="1"/>
  <c r="F25" i="7" s="1"/>
  <c r="F26" i="7" a="1"/>
  <c r="F26" i="7"/>
  <c r="F27" i="7" a="1"/>
  <c r="F27" i="7" s="1"/>
  <c r="F28" i="7" a="1"/>
  <c r="F28" i="7" s="1"/>
  <c r="F29" i="7" a="1"/>
  <c r="F29" i="7" s="1"/>
  <c r="F30" i="7" a="1"/>
  <c r="F30" i="7" s="1"/>
  <c r="F31" i="7" a="1"/>
  <c r="F31" i="7" s="1"/>
  <c r="F32" i="7" a="1"/>
  <c r="F32" i="7"/>
  <c r="F33" i="7" a="1"/>
  <c r="F33" i="7" s="1"/>
  <c r="F34" i="7" a="1"/>
  <c r="F34" i="7" s="1"/>
  <c r="F35" i="7" a="1"/>
  <c r="F35" i="7" s="1"/>
  <c r="F36" i="7" a="1"/>
  <c r="F36" i="7" s="1"/>
  <c r="F37" i="7" a="1"/>
  <c r="F37" i="7" s="1"/>
  <c r="F38" i="7" a="1"/>
  <c r="F38" i="7"/>
  <c r="F39" i="7" a="1"/>
  <c r="F39" i="7" s="1"/>
  <c r="F40" i="7" a="1"/>
  <c r="F40" i="7" s="1"/>
  <c r="F41" i="7" a="1"/>
  <c r="F41" i="7" s="1"/>
  <c r="F42" i="7" a="1"/>
  <c r="F42" i="7" s="1"/>
  <c r="F43" i="7" a="1"/>
  <c r="F43" i="7" s="1"/>
  <c r="F44" i="7" a="1"/>
  <c r="F44" i="7"/>
  <c r="F45" i="7" a="1"/>
  <c r="F45" i="7" s="1"/>
  <c r="F46" i="7" a="1"/>
  <c r="F46" i="7" s="1"/>
  <c r="F47" i="7" a="1"/>
  <c r="F47" i="7" s="1"/>
  <c r="F48" i="7" a="1"/>
  <c r="F48" i="7" s="1"/>
  <c r="F49" i="7" a="1"/>
  <c r="F49" i="7" s="1"/>
  <c r="F50" i="7" a="1"/>
  <c r="F50" i="7"/>
  <c r="F51" i="7" a="1"/>
  <c r="F51" i="7" s="1"/>
  <c r="F52" i="7" a="1"/>
  <c r="F52" i="7" s="1"/>
  <c r="F53" i="7" a="1"/>
  <c r="F53" i="7" s="1"/>
  <c r="F54" i="7" a="1"/>
  <c r="F54" i="7" s="1"/>
  <c r="F55" i="7" a="1"/>
  <c r="F55" i="7" s="1"/>
  <c r="F56" i="7" a="1"/>
  <c r="F56" i="7"/>
  <c r="F57" i="7" a="1"/>
  <c r="F57" i="7" s="1"/>
  <c r="F58" i="7" a="1"/>
  <c r="F58" i="7" s="1"/>
  <c r="F59" i="7" a="1"/>
  <c r="F59" i="7" s="1"/>
  <c r="F60" i="7" a="1"/>
  <c r="F60" i="7" s="1"/>
  <c r="F61" i="7" a="1"/>
  <c r="F61" i="7" s="1"/>
  <c r="F62" i="7" a="1"/>
  <c r="F62" i="7"/>
  <c r="F63" i="7" a="1"/>
  <c r="F63" i="7" s="1"/>
  <c r="F64" i="7" a="1"/>
  <c r="F64" i="7" s="1"/>
  <c r="F65" i="7" a="1"/>
  <c r="F65" i="7" s="1"/>
  <c r="F66" i="7" a="1"/>
  <c r="F66" i="7" s="1"/>
  <c r="F67" i="7" a="1"/>
  <c r="F67" i="7" s="1"/>
  <c r="E4" i="7" a="1"/>
  <c r="E4" i="7" s="1"/>
  <c r="E5" i="7" a="1"/>
  <c r="E5" i="7" s="1"/>
  <c r="E6" i="7" a="1"/>
  <c r="E6" i="7" s="1"/>
  <c r="E7" i="7" a="1"/>
  <c r="E7" i="7" s="1"/>
  <c r="E8" i="7" a="1"/>
  <c r="E8" i="7" s="1"/>
  <c r="E9" i="7" a="1"/>
  <c r="E9" i="7"/>
  <c r="E10" i="7" a="1"/>
  <c r="E10" i="7" s="1"/>
  <c r="E11" i="7" a="1"/>
  <c r="E11" i="7" s="1"/>
  <c r="E12" i="7" a="1"/>
  <c r="E12" i="7" s="1"/>
  <c r="E13" i="7" a="1"/>
  <c r="E13" i="7" s="1"/>
  <c r="E14" i="7" a="1"/>
  <c r="E14" i="7" s="1"/>
  <c r="E15" i="7" a="1"/>
  <c r="E15" i="7"/>
  <c r="E16" i="7" a="1"/>
  <c r="E16" i="7" s="1"/>
  <c r="E17" i="7" a="1"/>
  <c r="E17" i="7" s="1"/>
  <c r="E18" i="7" a="1"/>
  <c r="E18" i="7" s="1"/>
  <c r="E19" i="7" a="1"/>
  <c r="E19" i="7" s="1"/>
  <c r="E20" i="7" a="1"/>
  <c r="E20" i="7" s="1"/>
  <c r="E21" i="7" a="1"/>
  <c r="E21" i="7"/>
  <c r="E22" i="7" a="1"/>
  <c r="E22" i="7" s="1"/>
  <c r="E23" i="7" a="1"/>
  <c r="E23" i="7" s="1"/>
  <c r="E24" i="7" a="1"/>
  <c r="E24" i="7" s="1"/>
  <c r="E25" i="7" a="1"/>
  <c r="E25" i="7" s="1"/>
  <c r="E26" i="7" a="1"/>
  <c r="E26" i="7" s="1"/>
  <c r="E27" i="7" a="1"/>
  <c r="E27" i="7"/>
  <c r="E28" i="7" a="1"/>
  <c r="E28" i="7" s="1"/>
  <c r="E29" i="7" a="1"/>
  <c r="E29" i="7" s="1"/>
  <c r="E30" i="7" a="1"/>
  <c r="E30" i="7" s="1"/>
  <c r="E31" i="7" a="1"/>
  <c r="E31" i="7" s="1"/>
  <c r="E32" i="7" a="1"/>
  <c r="E32" i="7" s="1"/>
  <c r="E33" i="7" a="1"/>
  <c r="E33" i="7"/>
  <c r="E34" i="7" a="1"/>
  <c r="E34" i="7" s="1"/>
  <c r="E35" i="7" a="1"/>
  <c r="E35" i="7" s="1"/>
  <c r="E36" i="7" a="1"/>
  <c r="E36" i="7" s="1"/>
  <c r="E37" i="7" a="1"/>
  <c r="E37" i="7" s="1"/>
  <c r="E38" i="7" a="1"/>
  <c r="E38" i="7" s="1"/>
  <c r="E39" i="7" a="1"/>
  <c r="E39" i="7"/>
  <c r="E40" i="7" a="1"/>
  <c r="E40" i="7" s="1"/>
  <c r="E41" i="7" a="1"/>
  <c r="E41" i="7" s="1"/>
  <c r="E42" i="7" a="1"/>
  <c r="E42" i="7" s="1"/>
  <c r="E43" i="7" a="1"/>
  <c r="E43" i="7" s="1"/>
  <c r="E44" i="7" a="1"/>
  <c r="E44" i="7" s="1"/>
  <c r="E45" i="7" a="1"/>
  <c r="E45" i="7"/>
  <c r="E46" i="7" a="1"/>
  <c r="E46" i="7" s="1"/>
  <c r="E47" i="7" a="1"/>
  <c r="E47" i="7" s="1"/>
  <c r="E48" i="7" a="1"/>
  <c r="E48" i="7" s="1"/>
  <c r="E49" i="7" a="1"/>
  <c r="E49" i="7" s="1"/>
  <c r="E50" i="7" a="1"/>
  <c r="E50" i="7" s="1"/>
  <c r="E51" i="7" a="1"/>
  <c r="E51" i="7"/>
  <c r="E52" i="7" a="1"/>
  <c r="E52" i="7" s="1"/>
  <c r="E53" i="7" a="1"/>
  <c r="E53" i="7" s="1"/>
  <c r="E54" i="7" a="1"/>
  <c r="E54" i="7" s="1"/>
  <c r="E55" i="7" a="1"/>
  <c r="E55" i="7" s="1"/>
  <c r="E56" i="7" a="1"/>
  <c r="E56" i="7" s="1"/>
  <c r="E57" i="7" a="1"/>
  <c r="E57" i="7"/>
  <c r="E58" i="7" a="1"/>
  <c r="E58" i="7" s="1"/>
  <c r="E59" i="7" a="1"/>
  <c r="E59" i="7" s="1"/>
  <c r="E60" i="7" a="1"/>
  <c r="E60" i="7" s="1"/>
  <c r="E61" i="7" a="1"/>
  <c r="E61" i="7" s="1"/>
  <c r="E62" i="7" a="1"/>
  <c r="E62" i="7" s="1"/>
  <c r="E63" i="7" a="1"/>
  <c r="E63" i="7" s="1"/>
  <c r="E64" i="7" a="1"/>
  <c r="E64" i="7" s="1"/>
  <c r="E65" i="7" a="1"/>
  <c r="E65" i="7" s="1"/>
  <c r="E66" i="7" a="1"/>
  <c r="E66" i="7" s="1"/>
  <c r="E67" i="7" a="1"/>
  <c r="E67" i="7" s="1"/>
  <c r="D4" i="7" a="1"/>
  <c r="D4" i="7" s="1"/>
  <c r="D5" i="7" a="1"/>
  <c r="D5" i="7" s="1"/>
  <c r="D6" i="7" a="1"/>
  <c r="D6" i="7" s="1"/>
  <c r="D7" i="7" a="1"/>
  <c r="D7" i="7"/>
  <c r="D8" i="7" a="1"/>
  <c r="D8" i="7" s="1"/>
  <c r="D9" i="7" a="1"/>
  <c r="D9" i="7" s="1"/>
  <c r="D10" i="7" a="1"/>
  <c r="D10" i="7" s="1"/>
  <c r="D11" i="7" a="1"/>
  <c r="D11" i="7" s="1"/>
  <c r="D12" i="7" a="1"/>
  <c r="D12" i="7" s="1"/>
  <c r="D13" i="7" a="1"/>
  <c r="D13" i="7"/>
  <c r="D14" i="7" a="1"/>
  <c r="D14" i="7" s="1"/>
  <c r="D15" i="7" a="1"/>
  <c r="D15" i="7" s="1"/>
  <c r="D16" i="7" a="1"/>
  <c r="D16" i="7" s="1"/>
  <c r="D17" i="7" a="1"/>
  <c r="D17" i="7" s="1"/>
  <c r="D18" i="7" a="1"/>
  <c r="D18" i="7" s="1"/>
  <c r="D19" i="7" a="1"/>
  <c r="D19" i="7" s="1"/>
  <c r="D20" i="7" a="1"/>
  <c r="D20" i="7" s="1"/>
  <c r="D21" i="7" a="1"/>
  <c r="D21" i="7" s="1"/>
  <c r="D22" i="7" a="1"/>
  <c r="D22" i="7" s="1"/>
  <c r="D23" i="7" a="1"/>
  <c r="D23" i="7" s="1"/>
  <c r="D24" i="7" a="1"/>
  <c r="D24" i="7" s="1"/>
  <c r="D25" i="7" a="1"/>
  <c r="D25" i="7" s="1"/>
  <c r="D26" i="7" a="1"/>
  <c r="D26" i="7" s="1"/>
  <c r="D27" i="7" a="1"/>
  <c r="D27" i="7" s="1"/>
  <c r="D28" i="7" a="1"/>
  <c r="D28" i="7" s="1"/>
  <c r="D29" i="7" a="1"/>
  <c r="D29" i="7" s="1"/>
  <c r="D30" i="7" a="1"/>
  <c r="D30" i="7" s="1"/>
  <c r="D31" i="7" a="1"/>
  <c r="D31" i="7" s="1"/>
  <c r="D32" i="7" a="1"/>
  <c r="D32" i="7" s="1"/>
  <c r="D33" i="7" a="1"/>
  <c r="D33" i="7" s="1"/>
  <c r="D34" i="7" a="1"/>
  <c r="D34" i="7" s="1"/>
  <c r="D35" i="7" a="1"/>
  <c r="D35" i="7" s="1"/>
  <c r="D36" i="7" a="1"/>
  <c r="D36" i="7" s="1"/>
  <c r="D37" i="7" a="1"/>
  <c r="D37" i="7" s="1"/>
  <c r="D38" i="7" a="1"/>
  <c r="D38" i="7" s="1"/>
  <c r="D39" i="7" a="1"/>
  <c r="D39" i="7" s="1"/>
  <c r="D40" i="7" a="1"/>
  <c r="D40" i="7" s="1"/>
  <c r="D41" i="7" a="1"/>
  <c r="D41" i="7" s="1"/>
  <c r="D42" i="7" a="1"/>
  <c r="D42" i="7" s="1"/>
  <c r="D43" i="7" a="1"/>
  <c r="D43" i="7" s="1"/>
  <c r="D44" i="7" a="1"/>
  <c r="D44" i="7" s="1"/>
  <c r="D45" i="7" a="1"/>
  <c r="D45" i="7" s="1"/>
  <c r="D46" i="7" a="1"/>
  <c r="D46" i="7" s="1"/>
  <c r="D47" i="7" a="1"/>
  <c r="D47" i="7" s="1"/>
  <c r="D48" i="7" a="1"/>
  <c r="D48" i="7" s="1"/>
  <c r="D49" i="7" a="1"/>
  <c r="D49" i="7" s="1"/>
  <c r="D50" i="7" a="1"/>
  <c r="D50" i="7" s="1"/>
  <c r="D51" i="7" a="1"/>
  <c r="D51" i="7" s="1"/>
  <c r="D52" i="7" a="1"/>
  <c r="D52" i="7" s="1"/>
  <c r="D53" i="7" a="1"/>
  <c r="D53" i="7" s="1"/>
  <c r="D54" i="7" a="1"/>
  <c r="D54" i="7" s="1"/>
  <c r="D55" i="7" a="1"/>
  <c r="D55" i="7" s="1"/>
  <c r="D56" i="7" a="1"/>
  <c r="D56" i="7" s="1"/>
  <c r="D57" i="7" a="1"/>
  <c r="D57" i="7" s="1"/>
  <c r="D58" i="7" a="1"/>
  <c r="D58" i="7" s="1"/>
  <c r="D59" i="7" a="1"/>
  <c r="D59" i="7" s="1"/>
  <c r="D60" i="7" a="1"/>
  <c r="D60" i="7" s="1"/>
  <c r="D61" i="7" a="1"/>
  <c r="D61" i="7" s="1"/>
  <c r="D62" i="7" a="1"/>
  <c r="D62" i="7" s="1"/>
  <c r="D63" i="7" a="1"/>
  <c r="D63" i="7" s="1"/>
  <c r="D64" i="7" a="1"/>
  <c r="D64" i="7" s="1"/>
  <c r="D65" i="7" a="1"/>
  <c r="D65" i="7" s="1"/>
  <c r="D66" i="7" a="1"/>
  <c r="D66" i="7" s="1"/>
  <c r="D67" i="7" a="1"/>
  <c r="D67" i="7" s="1"/>
  <c r="J3" i="7" a="1"/>
  <c r="J3" i="7" s="1"/>
  <c r="I3" i="7" a="1"/>
  <c r="I3" i="7" s="1"/>
  <c r="H3" i="7" a="1"/>
  <c r="H3" i="7" s="1"/>
  <c r="G3" i="7" a="1"/>
  <c r="G3" i="7" s="1"/>
  <c r="F3" i="7" a="1"/>
  <c r="F3" i="7" s="1"/>
  <c r="E3" i="7" a="1"/>
  <c r="E3" i="7" s="1"/>
  <c r="D3" i="7" a="1"/>
  <c r="D3" i="7"/>
  <c r="C4" i="7" a="1"/>
  <c r="C4" i="7" s="1"/>
  <c r="C5" i="7" a="1"/>
  <c r="C5" i="7"/>
  <c r="C6" i="7" a="1"/>
  <c r="C6" i="7" s="1"/>
  <c r="C7" i="7" a="1"/>
  <c r="C7" i="7" s="1"/>
  <c r="C8" i="7" a="1"/>
  <c r="C8" i="7"/>
  <c r="C9" i="7" a="1"/>
  <c r="C9" i="7" s="1"/>
  <c r="C10" i="7" a="1"/>
  <c r="C10" i="7" s="1"/>
  <c r="C11" i="7" a="1"/>
  <c r="C11" i="7"/>
  <c r="C12" i="7" a="1"/>
  <c r="C12" i="7" s="1"/>
  <c r="C13" i="7" a="1"/>
  <c r="C13" i="7" s="1"/>
  <c r="C14" i="7" a="1"/>
  <c r="C14" i="7"/>
  <c r="C15" i="7" a="1"/>
  <c r="C15" i="7" s="1"/>
  <c r="C16" i="7" a="1"/>
  <c r="C16" i="7" s="1"/>
  <c r="C17" i="7" a="1"/>
  <c r="C17" i="7"/>
  <c r="C18" i="7" a="1"/>
  <c r="C18" i="7" s="1"/>
  <c r="C19" i="7" a="1"/>
  <c r="C19" i="7" s="1"/>
  <c r="C20" i="7" a="1"/>
  <c r="C20" i="7"/>
  <c r="C21" i="7" a="1"/>
  <c r="C21" i="7" s="1"/>
  <c r="C22" i="7" a="1"/>
  <c r="C22" i="7" s="1"/>
  <c r="C23" i="7" a="1"/>
  <c r="C23" i="7" s="1"/>
  <c r="C24" i="7" a="1"/>
  <c r="C24" i="7" s="1"/>
  <c r="C25" i="7" a="1"/>
  <c r="C25" i="7" s="1"/>
  <c r="C26" i="7" a="1"/>
  <c r="C26" i="7"/>
  <c r="C27" i="7" a="1"/>
  <c r="C27" i="7" s="1"/>
  <c r="C28" i="7" a="1"/>
  <c r="C28" i="7" s="1"/>
  <c r="C29" i="7" a="1"/>
  <c r="C29" i="7" s="1"/>
  <c r="C30" i="7" a="1"/>
  <c r="C30" i="7" s="1"/>
  <c r="C31" i="7" a="1"/>
  <c r="C31" i="7" s="1"/>
  <c r="C32" i="7" a="1"/>
  <c r="C32" i="7"/>
  <c r="C33" i="7" a="1"/>
  <c r="C33" i="7" s="1"/>
  <c r="C34" i="7" a="1"/>
  <c r="C34" i="7" s="1"/>
  <c r="C35" i="7" a="1"/>
  <c r="C35" i="7" s="1"/>
  <c r="C36" i="7" a="1"/>
  <c r="C36" i="7" s="1"/>
  <c r="C37" i="7" a="1"/>
  <c r="C37" i="7" s="1"/>
  <c r="C38" i="7" a="1"/>
  <c r="C38" i="7"/>
  <c r="C39" i="7" a="1"/>
  <c r="C39" i="7" s="1"/>
  <c r="C40" i="7" a="1"/>
  <c r="C40" i="7" s="1"/>
  <c r="C41" i="7" a="1"/>
  <c r="C41" i="7" s="1"/>
  <c r="C42" i="7" a="1"/>
  <c r="C42" i="7" s="1"/>
  <c r="C43" i="7" a="1"/>
  <c r="C43" i="7" s="1"/>
  <c r="C44" i="7" a="1"/>
  <c r="C44" i="7"/>
  <c r="C45" i="7" a="1"/>
  <c r="C45" i="7" s="1"/>
  <c r="C46" i="7" a="1"/>
  <c r="C46" i="7" s="1"/>
  <c r="C47" i="7" a="1"/>
  <c r="C47" i="7" s="1"/>
  <c r="C48" i="7" a="1"/>
  <c r="C48" i="7" s="1"/>
  <c r="C49" i="7" a="1"/>
  <c r="C49" i="7" s="1"/>
  <c r="C50" i="7" a="1"/>
  <c r="C50" i="7"/>
  <c r="C51" i="7" a="1"/>
  <c r="C51" i="7" s="1"/>
  <c r="C52" i="7" a="1"/>
  <c r="C52" i="7" s="1"/>
  <c r="C53" i="7" a="1"/>
  <c r="C53" i="7" s="1"/>
  <c r="C54" i="7" a="1"/>
  <c r="C54" i="7" s="1"/>
  <c r="C55" i="7" a="1"/>
  <c r="C55" i="7" s="1"/>
  <c r="C56" i="7" a="1"/>
  <c r="C56" i="7"/>
  <c r="C57" i="7" a="1"/>
  <c r="C57" i="7" s="1"/>
  <c r="C58" i="7" a="1"/>
  <c r="C58" i="7" s="1"/>
  <c r="C59" i="7" a="1"/>
  <c r="C59" i="7" s="1"/>
  <c r="C60" i="7" a="1"/>
  <c r="C60" i="7" s="1"/>
  <c r="C61" i="7" a="1"/>
  <c r="C61" i="7" s="1"/>
  <c r="C62" i="7" a="1"/>
  <c r="C62" i="7"/>
  <c r="C63" i="7" a="1"/>
  <c r="C63" i="7" s="1"/>
  <c r="C64" i="7" a="1"/>
  <c r="C64" i="7" s="1"/>
  <c r="C65" i="7" a="1"/>
  <c r="C65" i="7" s="1"/>
  <c r="C66" i="7" a="1"/>
  <c r="C66" i="7" s="1"/>
  <c r="C67" i="7" a="1"/>
  <c r="C67" i="7" s="1"/>
  <c r="C3" i="7" a="1"/>
  <c r="C3" i="7" s="1"/>
  <c r="C2" i="7"/>
  <c r="D2" i="7"/>
  <c r="E2" i="7"/>
  <c r="F2" i="7"/>
  <c r="G2" i="7"/>
  <c r="H2" i="7"/>
  <c r="I2" i="7"/>
  <c r="J2" i="7"/>
  <c r="B6" i="7" a="1"/>
  <c r="B6" i="7" s="1"/>
  <c r="B7" i="7" a="1"/>
  <c r="B7" i="7" s="1"/>
  <c r="B8" i="7" a="1"/>
  <c r="B8" i="7" s="1"/>
  <c r="B9" i="7" a="1"/>
  <c r="B9" i="7" s="1"/>
  <c r="B10" i="7" a="1"/>
  <c r="B10" i="7" s="1"/>
  <c r="B11" i="7" a="1"/>
  <c r="B11" i="7" s="1"/>
  <c r="B12" i="7" a="1"/>
  <c r="B12" i="7" s="1"/>
  <c r="B13" i="7" a="1"/>
  <c r="B13" i="7" s="1"/>
  <c r="B14" i="7" a="1"/>
  <c r="B14" i="7" s="1"/>
  <c r="B15" i="7" a="1"/>
  <c r="B15" i="7" s="1"/>
  <c r="B16" i="7" a="1"/>
  <c r="B16" i="7" s="1"/>
  <c r="B17" i="7" a="1"/>
  <c r="B17" i="7" s="1"/>
  <c r="B18" i="7" a="1"/>
  <c r="B18" i="7" s="1"/>
  <c r="B19" i="7" a="1"/>
  <c r="B19" i="7" s="1"/>
  <c r="B20" i="7" a="1"/>
  <c r="B20" i="7" s="1"/>
  <c r="B21" i="7" a="1"/>
  <c r="B21" i="7" s="1"/>
  <c r="B22" i="7" a="1"/>
  <c r="B22" i="7" s="1"/>
  <c r="B23" i="7" a="1"/>
  <c r="B23" i="7" s="1"/>
  <c r="B24" i="7" a="1"/>
  <c r="B24" i="7" s="1"/>
  <c r="B25" i="7" a="1"/>
  <c r="B25" i="7" s="1"/>
  <c r="B26" i="7" a="1"/>
  <c r="B26" i="7" s="1"/>
  <c r="B27" i="7" a="1"/>
  <c r="B27" i="7" s="1"/>
  <c r="B28" i="7" a="1"/>
  <c r="B28" i="7" s="1"/>
  <c r="B29" i="7" a="1"/>
  <c r="B29" i="7" s="1"/>
  <c r="B30" i="7" a="1"/>
  <c r="B30" i="7" s="1"/>
  <c r="B31" i="7" a="1"/>
  <c r="B31" i="7" s="1"/>
  <c r="B32" i="7" a="1"/>
  <c r="B32" i="7" s="1"/>
  <c r="B33" i="7" a="1"/>
  <c r="B33" i="7" s="1"/>
  <c r="B34" i="7" a="1"/>
  <c r="B34" i="7" s="1"/>
  <c r="B35" i="7" a="1"/>
  <c r="B35" i="7" s="1"/>
  <c r="B36" i="7" a="1"/>
  <c r="B36" i="7" s="1"/>
  <c r="B37" i="7" a="1"/>
  <c r="B37" i="7" s="1"/>
  <c r="B38" i="7" a="1"/>
  <c r="B38" i="7" s="1"/>
  <c r="B39" i="7" a="1"/>
  <c r="B39" i="7" s="1"/>
  <c r="B40" i="7" a="1"/>
  <c r="B40" i="7" s="1"/>
  <c r="B41" i="7" a="1"/>
  <c r="B41" i="7" s="1"/>
  <c r="B42" i="7" a="1"/>
  <c r="B42" i="7" s="1"/>
  <c r="B43" i="7" a="1"/>
  <c r="B43" i="7" s="1"/>
  <c r="B44" i="7" a="1"/>
  <c r="B44" i="7" s="1"/>
  <c r="B45" i="7" a="1"/>
  <c r="B45" i="7" s="1"/>
  <c r="B46" i="7" a="1"/>
  <c r="B46" i="7" s="1"/>
  <c r="B47" i="7" a="1"/>
  <c r="B47" i="7" s="1"/>
  <c r="B48" i="7" a="1"/>
  <c r="B48" i="7" s="1"/>
  <c r="B49" i="7" a="1"/>
  <c r="B49" i="7" s="1"/>
  <c r="B50" i="7" a="1"/>
  <c r="B50" i="7" s="1"/>
  <c r="B51" i="7" a="1"/>
  <c r="B51" i="7" s="1"/>
  <c r="B52" i="7" a="1"/>
  <c r="B52" i="7" s="1"/>
  <c r="B53" i="7" a="1"/>
  <c r="B53" i="7" s="1"/>
  <c r="B54" i="7" a="1"/>
  <c r="B54" i="7" s="1"/>
  <c r="B55" i="7" a="1"/>
  <c r="B55" i="7" s="1"/>
  <c r="B56" i="7" a="1"/>
  <c r="B56" i="7" s="1"/>
  <c r="B57" i="7" a="1"/>
  <c r="B57" i="7" s="1"/>
  <c r="B58" i="7" a="1"/>
  <c r="B58" i="7" s="1"/>
  <c r="B59" i="7" a="1"/>
  <c r="B59" i="7" s="1"/>
  <c r="B60" i="7" a="1"/>
  <c r="B60" i="7" s="1"/>
  <c r="B61" i="7" a="1"/>
  <c r="B61" i="7" s="1"/>
  <c r="B62" i="7" a="1"/>
  <c r="B62" i="7" s="1"/>
  <c r="B63" i="7" a="1"/>
  <c r="B63" i="7" s="1"/>
  <c r="B64" i="7" a="1"/>
  <c r="B64" i="7" s="1"/>
  <c r="B65" i="7" a="1"/>
  <c r="B65" i="7" s="1"/>
  <c r="B66" i="7" a="1"/>
  <c r="B66" i="7" s="1"/>
  <c r="B67" i="7" a="1"/>
  <c r="B67" i="7" s="1"/>
  <c r="B4" i="7" a="1"/>
  <c r="B4" i="7" s="1"/>
  <c r="B5" i="7" a="1"/>
  <c r="B5" i="7" s="1"/>
  <c r="B3" i="7" a="1"/>
  <c r="B3" i="7" s="1"/>
  <c r="B2" i="7"/>
  <c r="F50" i="6" a="1"/>
  <c r="F50" i="6" s="1"/>
  <c r="F49" i="6" a="1"/>
  <c r="F49" i="6" s="1"/>
  <c r="F48" i="6" a="1"/>
  <c r="F48" i="6" s="1"/>
  <c r="F47" i="6" a="1"/>
  <c r="F47" i="6" s="1"/>
  <c r="F46" i="6" a="1"/>
  <c r="F46" i="6" s="1"/>
  <c r="F45" i="6" a="1"/>
  <c r="F45" i="6" s="1"/>
  <c r="F44" i="6" a="1"/>
  <c r="F44" i="6" s="1"/>
  <c r="F43" i="6" a="1"/>
  <c r="F43" i="6" s="1"/>
  <c r="F42" i="6" a="1"/>
  <c r="F42" i="6" s="1"/>
  <c r="D50" i="6"/>
  <c r="D49" i="6"/>
  <c r="D48" i="6"/>
  <c r="D47" i="6"/>
  <c r="D46" i="6"/>
  <c r="D45" i="6"/>
  <c r="D44" i="6"/>
  <c r="D43" i="6"/>
  <c r="D42" i="6"/>
  <c r="C50" i="6"/>
  <c r="C49" i="6"/>
  <c r="C48" i="6"/>
  <c r="C47" i="6"/>
  <c r="C46" i="6"/>
  <c r="C45" i="6"/>
  <c r="C44" i="6"/>
  <c r="C43" i="6"/>
  <c r="C42" i="6"/>
  <c r="D31" i="6" a="1"/>
  <c r="D31" i="6" s="1"/>
  <c r="D30" i="6" a="1"/>
  <c r="D30" i="6" s="1"/>
  <c r="D29" i="6" a="1"/>
  <c r="D29" i="6" s="1"/>
  <c r="D28" i="6" a="1"/>
  <c r="D28" i="6" s="1"/>
  <c r="D27" i="6" a="1"/>
  <c r="D27" i="6" s="1"/>
  <c r="D26" i="6" a="1"/>
  <c r="D26" i="6" s="1"/>
  <c r="D25" i="6" a="1"/>
  <c r="D25" i="6" s="1"/>
  <c r="D24" i="6" a="1"/>
  <c r="D24" i="6" s="1"/>
  <c r="D23" i="6" a="1"/>
  <c r="D23" i="6" s="1"/>
  <c r="C31" i="6" a="1"/>
  <c r="C31" i="6" s="1"/>
  <c r="C30" i="6" a="1"/>
  <c r="C30" i="6" s="1"/>
  <c r="C29" i="6" a="1"/>
  <c r="C29" i="6" s="1"/>
  <c r="C28" i="6" a="1"/>
  <c r="C28" i="6" s="1"/>
  <c r="C27" i="6" a="1"/>
  <c r="C27" i="6" s="1"/>
  <c r="C26" i="6" a="1"/>
  <c r="C26" i="6" s="1"/>
  <c r="C25" i="6" a="1"/>
  <c r="C25" i="6" s="1"/>
  <c r="C24" i="6" a="1"/>
  <c r="C24" i="6" s="1"/>
  <c r="C23" i="6" a="1"/>
  <c r="C23" i="6" s="1"/>
  <c r="D17" i="6"/>
  <c r="C17" i="6"/>
  <c r="G8" i="6"/>
  <c r="G9" i="6"/>
  <c r="G10" i="6"/>
  <c r="G11" i="6"/>
  <c r="G12" i="6"/>
  <c r="G13" i="6"/>
  <c r="G14" i="6"/>
  <c r="G15" i="6"/>
  <c r="F8" i="6"/>
  <c r="F9" i="6"/>
  <c r="F10" i="6"/>
  <c r="F11" i="6"/>
  <c r="F12" i="6"/>
  <c r="F13" i="6"/>
  <c r="F14" i="6"/>
  <c r="F15" i="6"/>
  <c r="F7" i="6"/>
  <c r="G7" i="6"/>
  <c r="E16" i="6"/>
  <c r="E8" i="6"/>
  <c r="E9" i="6"/>
  <c r="E10" i="6"/>
  <c r="E11" i="6"/>
  <c r="E12" i="6"/>
  <c r="E13" i="6"/>
  <c r="E14" i="6"/>
  <c r="E15" i="6"/>
  <c r="E7" i="6"/>
  <c r="D8" i="6"/>
  <c r="D9" i="6"/>
  <c r="D10" i="6"/>
  <c r="D11" i="6"/>
  <c r="D12" i="6"/>
  <c r="D13" i="6"/>
  <c r="D14" i="6"/>
  <c r="D15" i="6"/>
  <c r="D16" i="6"/>
  <c r="D7" i="6"/>
  <c r="C16" i="6"/>
  <c r="C15" i="6"/>
  <c r="C14" i="6"/>
  <c r="C13" i="6"/>
  <c r="C12" i="6"/>
  <c r="C11" i="6"/>
  <c r="C10" i="6"/>
  <c r="C9" i="6"/>
  <c r="C8" i="6"/>
  <c r="C7" i="6"/>
  <c r="B41" i="6"/>
  <c r="F51" i="6" l="1" a="1"/>
  <c r="F51" i="6" s="1"/>
  <c r="V71" i="8" a="1"/>
  <c r="V71" i="8" s="1"/>
  <c r="C37" i="6" s="1"/>
  <c r="C51" i="6"/>
  <c r="D51" i="6"/>
  <c r="E67" i="6"/>
  <c r="K17" i="6"/>
  <c r="G67" i="6"/>
  <c r="I64" i="6"/>
  <c r="H67" i="6"/>
  <c r="I65" i="6"/>
  <c r="I59" i="6"/>
  <c r="I66" i="6"/>
  <c r="I62" i="6"/>
  <c r="F67" i="6"/>
  <c r="I63" i="6"/>
  <c r="C67" i="6"/>
  <c r="I61" i="6"/>
  <c r="D67" i="6"/>
  <c r="I60" i="6"/>
  <c r="I78" i="6"/>
  <c r="I75" i="6"/>
  <c r="E79" i="6"/>
  <c r="G79" i="6"/>
  <c r="F79" i="6"/>
  <c r="H79" i="6"/>
  <c r="I77" i="6"/>
  <c r="I74" i="6"/>
  <c r="I73" i="6"/>
  <c r="D79" i="6"/>
  <c r="I76" i="6"/>
  <c r="I72" i="6"/>
  <c r="I71" i="6"/>
  <c r="C79" i="6"/>
  <c r="I70" i="6"/>
  <c r="I58" i="6"/>
  <c r="B13" i="5"/>
  <c r="B35" i="6"/>
  <c r="G51" i="6" l="1"/>
  <c r="E51" i="6"/>
  <c r="K16" i="6"/>
  <c r="L16" i="6" s="1"/>
  <c r="I67" i="6"/>
  <c r="I79" i="6"/>
  <c r="B68" i="6"/>
  <c r="I69" i="6" l="1"/>
  <c r="C69" i="6"/>
  <c r="D57" i="6"/>
  <c r="E57" i="6" l="1"/>
  <c r="D69" i="6"/>
  <c r="F57" i="6" l="1"/>
  <c r="E69" i="6"/>
  <c r="F69" i="6" l="1"/>
  <c r="G57" i="6"/>
  <c r="H57" i="6" l="1"/>
  <c r="H69" i="6" s="1"/>
  <c r="G6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<sst xmlns="http://schemas.openxmlformats.org/spreadsheetml/2006/main" count="268" uniqueCount="150">
  <si>
    <t>Anlage-kategorie 1</t>
  </si>
  <si>
    <t>Anlage-kategorie 2</t>
  </si>
  <si>
    <t>Anlage-kategorie 3</t>
  </si>
  <si>
    <t>Anlage-kategorie 4</t>
  </si>
  <si>
    <t>Anlage-kategorie 5</t>
  </si>
  <si>
    <t>Anlagekategorie 1</t>
  </si>
  <si>
    <t>Anlagekategorie 2</t>
  </si>
  <si>
    <t>Anlagekategorie 3</t>
  </si>
  <si>
    <t>Anlagekategorie 4</t>
  </si>
  <si>
    <t>Anlagekategorie 5</t>
  </si>
  <si>
    <t>Total</t>
  </si>
  <si>
    <t>Taktische Bandbreiten</t>
  </si>
  <si>
    <t>Benchmark 1</t>
  </si>
  <si>
    <t>Benchmark 2</t>
  </si>
  <si>
    <t>Benchmark 3</t>
  </si>
  <si>
    <t>Benchmark 4</t>
  </si>
  <si>
    <t>Benchmark 5</t>
  </si>
  <si>
    <t>Min</t>
  </si>
  <si>
    <t>Max</t>
  </si>
  <si>
    <t>Strategie-quote</t>
  </si>
  <si>
    <r>
      <t xml:space="preserve">Anlagekategorien 
</t>
    </r>
    <r>
      <rPr>
        <sz val="10"/>
        <color theme="0"/>
        <rFont val="Arial"/>
        <family val="2"/>
      </rPr>
      <t>(konkrete Bezeichnungen werden am Seminartag bekanntgegeben)</t>
    </r>
  </si>
  <si>
    <r>
      <rPr>
        <b/>
        <sz val="10"/>
        <color theme="0"/>
        <rFont val="Arial"/>
        <family val="2"/>
      </rPr>
      <t>Benchmarks</t>
    </r>
    <r>
      <rPr>
        <sz val="10"/>
        <color theme="0"/>
        <rFont val="Arial"/>
        <family val="2"/>
      </rPr>
      <t xml:space="preserve">
(konkrete Bezeichnungen werden am Seminartag bekanntgegeben)</t>
    </r>
  </si>
  <si>
    <t>Strategische Benchmark</t>
  </si>
  <si>
    <t>Vermögensstand in CHF</t>
  </si>
  <si>
    <t>Monatliche Portfoliorenditen</t>
  </si>
  <si>
    <t>Monatliche Benchmarkrenditen</t>
  </si>
  <si>
    <t>c)</t>
  </si>
  <si>
    <t>d)</t>
  </si>
  <si>
    <t>e)</t>
  </si>
  <si>
    <t>f)</t>
  </si>
  <si>
    <t>Anteil Aktien</t>
  </si>
  <si>
    <t>Gesamtvermögen</t>
  </si>
  <si>
    <t>Min.</t>
  </si>
  <si>
    <t>Max.</t>
  </si>
  <si>
    <t>Rendite Benchmark</t>
  </si>
  <si>
    <t>Volatilität</t>
  </si>
  <si>
    <t>Tracking Error</t>
  </si>
  <si>
    <t>Jensen's Alpha</t>
  </si>
  <si>
    <t>Rendite Gesamtvermögen</t>
  </si>
  <si>
    <t>Performance Attribution</t>
  </si>
  <si>
    <t>= Musterdaten</t>
  </si>
  <si>
    <t>Anteil Fremd-währungen</t>
  </si>
  <si>
    <t>Lösungsraster</t>
  </si>
  <si>
    <t>Vermögen in CHF</t>
  </si>
  <si>
    <t>Bandbreiten in %</t>
  </si>
  <si>
    <t>Vermögen in %</t>
  </si>
  <si>
    <t>Annualisierte Rendite Benchmark</t>
  </si>
  <si>
    <t xml:space="preserve">Annualisierte Rendite </t>
  </si>
  <si>
    <t>Annualisierte Portfolio-Kennzahlen seit Messbeginn</t>
  </si>
  <si>
    <t>Anlagekategorie 6</t>
  </si>
  <si>
    <t>Anlage-kategorie 6</t>
  </si>
  <si>
    <t>Anlage-kategorie 8</t>
  </si>
  <si>
    <t>Anlage-kategorie 7</t>
  </si>
  <si>
    <t>Anlagekategorie 7</t>
  </si>
  <si>
    <t>Anlagekategorie 8</t>
  </si>
  <si>
    <t>Benchmark 6</t>
  </si>
  <si>
    <t>Benchmark 7</t>
  </si>
  <si>
    <t>Benchmark 8</t>
  </si>
  <si>
    <t>Strategiequoten 
in %</t>
  </si>
  <si>
    <t>Taktik</t>
  </si>
  <si>
    <t>Selektivität</t>
  </si>
  <si>
    <t>Währung</t>
  </si>
  <si>
    <t>Anlageinstrument</t>
  </si>
  <si>
    <t>Anteil CHF</t>
  </si>
  <si>
    <t>Anteil Immobilien Welt</t>
  </si>
  <si>
    <r>
      <t xml:space="preserve">Anlagekategorien gemäss KVAV 
</t>
    </r>
    <r>
      <rPr>
        <sz val="10"/>
        <color theme="0"/>
        <rFont val="Arial"/>
        <family val="2"/>
      </rPr>
      <t>(in % des Vermögens der jeweiligen Anlagekategorie)</t>
    </r>
  </si>
  <si>
    <t>g)</t>
  </si>
  <si>
    <t>Nachhaltigkeit</t>
  </si>
  <si>
    <t>SVVK-Titel ausgeschlossen</t>
  </si>
  <si>
    <t>weitere Ausschlüsse</t>
  </si>
  <si>
    <t>weitere Nachhaltigkeitskriterien (z.B. Best in Class)</t>
  </si>
  <si>
    <t>ESG - Rating</t>
  </si>
  <si>
    <t>KVAV Maximallimiten in %</t>
  </si>
  <si>
    <t>Total Fremdwährung</t>
  </si>
  <si>
    <t>a) / b)</t>
  </si>
  <si>
    <t>Nachhaltigkeit (Basis: Factsheet)</t>
  </si>
  <si>
    <t>Berichterstattung über Nachhaltigkeit (allgemein)</t>
  </si>
  <si>
    <t>Sollbetrag in CHF</t>
  </si>
  <si>
    <t>Annualisierte Rendite Anlagekategorien und Benchmarks seit Messbeginn</t>
  </si>
  <si>
    <t>Annualisierte Rendite Gesamtvermögen und Benchmark seit Messbeginn</t>
  </si>
  <si>
    <t>Anteil nicht geeignete Anlagen</t>
  </si>
  <si>
    <t>Anteil Immobilien Schweiz</t>
  </si>
  <si>
    <t>Beta</t>
  </si>
  <si>
    <t>Risikoloser Zinssatz p.m. (SARON 1M)</t>
  </si>
  <si>
    <t>gebundenes Vermögen nach Abzug nicht anrechenbare Fremdwährungen in CHF</t>
  </si>
  <si>
    <t>Maximal zurechenbarer Betrag in CHF</t>
  </si>
  <si>
    <t>davon nicht anrechenbar an gebundenes Vermögen in CHF</t>
  </si>
  <si>
    <t>davon anrechenbar an gebundenes Vermögen in CHF</t>
  </si>
  <si>
    <t>Hinweis: Nur Anlagekategorie 4 muss ausgefüllt werden!</t>
  </si>
  <si>
    <t>Anlagekategorie 9</t>
  </si>
  <si>
    <t>Benchmark 9</t>
  </si>
  <si>
    <t>Anlage-kategorie 9</t>
  </si>
  <si>
    <t>Hinweis: Sollbetrag als gebundenes Vermögen nehmen.</t>
  </si>
  <si>
    <t>Treynor Ratio</t>
  </si>
  <si>
    <t>Vermögensstruktur per 30.06.2024 mit Strategiequoten, Bandbreiten, Einhaltung KVAV Maximallimiten sowie Deckung des Sollbetrags</t>
  </si>
  <si>
    <t>01.01.2019-30.06.2024</t>
  </si>
  <si>
    <t>Taktikbeitrag und Selektivitätsbeitrag 01.01.2024-30.06.2024</t>
  </si>
  <si>
    <t>1. Semester 2024</t>
  </si>
  <si>
    <t>01.01.2024-30.06.2024</t>
  </si>
  <si>
    <t>Ja</t>
  </si>
  <si>
    <t>AK 1</t>
  </si>
  <si>
    <t>AK 2</t>
  </si>
  <si>
    <t>AK 3</t>
  </si>
  <si>
    <t>AK 4</t>
  </si>
  <si>
    <t>AK 5</t>
  </si>
  <si>
    <t>AK 6</t>
  </si>
  <si>
    <t>AK 7</t>
  </si>
  <si>
    <t>AK 8</t>
  </si>
  <si>
    <t>AK 9</t>
  </si>
  <si>
    <t>T</t>
  </si>
  <si>
    <t>B</t>
  </si>
  <si>
    <t>Datum</t>
  </si>
  <si>
    <t>Summe Vermögen</t>
  </si>
  <si>
    <t>Gewicht 1</t>
  </si>
  <si>
    <t>Gewicht 2</t>
  </si>
  <si>
    <t>Gewicht 3</t>
  </si>
  <si>
    <t>Gewicht 4</t>
  </si>
  <si>
    <t>Gewicht 5</t>
  </si>
  <si>
    <t>Gewicht 6</t>
  </si>
  <si>
    <t>Gewicht 7</t>
  </si>
  <si>
    <t>Gewicht 8</t>
  </si>
  <si>
    <t>Gewicht 9</t>
  </si>
  <si>
    <t>Gew. Rendite 1</t>
  </si>
  <si>
    <t>Gew. Rendite 2</t>
  </si>
  <si>
    <t>Gew. Rendite 3</t>
  </si>
  <si>
    <t>Gew. Rendite 4</t>
  </si>
  <si>
    <t>Gew. Rendite 5</t>
  </si>
  <si>
    <t>Gew. Rendite 6</t>
  </si>
  <si>
    <t>Gew. Rendite 7</t>
  </si>
  <si>
    <t>Gew. Rendite 8</t>
  </si>
  <si>
    <t>Gew. Rendite 9</t>
  </si>
  <si>
    <t>Gew. Rendite Gesamtvermögen</t>
  </si>
  <si>
    <t>Kumulierte Rendite Gesamtvermögen</t>
  </si>
  <si>
    <t>Benchmark Gew. Rendite 1</t>
  </si>
  <si>
    <t>Benchmark Gew. Rendite 2</t>
  </si>
  <si>
    <t>Benchmark Gew. Rendite 3</t>
  </si>
  <si>
    <t>Benchmark Gew. Rendite 4</t>
  </si>
  <si>
    <t>Benchmark Gew. Rendite 5</t>
  </si>
  <si>
    <t>Benchmark Gew. Rendite 6</t>
  </si>
  <si>
    <t>Benchmark Gew. Rendite 7</t>
  </si>
  <si>
    <t>Benchmark Gew. Rendite 8</t>
  </si>
  <si>
    <t>Benchmark Gew. Rendite 9</t>
  </si>
  <si>
    <t>Benchmark Gew. Rendite Gesamtvermögen</t>
  </si>
  <si>
    <t>Kumulierte Rendite Gesamtvermögen Benchmark</t>
  </si>
  <si>
    <t>Kumulierte Rendite Risikoloser Zinssatz</t>
  </si>
  <si>
    <t>Annualisierter Risikoloser Zinssatz</t>
  </si>
  <si>
    <t>GV</t>
  </si>
  <si>
    <t>Gewichte
spezifisch für Performance-Berechnung</t>
  </si>
  <si>
    <t>Rendite BM</t>
  </si>
  <si>
    <t>Renditen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</si>
</sst>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0.0%"/>
    <numFmt numFmtId="165" formatCode="_ * #,##0_ ;_ * \-#,##0_ ;_ * &quot;-&quot;??_ ;_ @_ "/>
    <numFmt numFmtId="166" formatCode="_ * #,##0.0_ ;_ * \-#,##0.0_ ;_ * &quot;-&quot;??_ ;_ @_ "/>
    <numFmt numFmtId="167" formatCode="_ * #,##0.000_ ;_ * \-#,##0.000_ ;_ * &quot;-&quot;??_ ;_ @_ "/>
    <numFmt numFmtId="168" formatCode="0.0000000%"/>
    <numFmt numFmtId="169" formatCode="&quot;CHF&quot;\ #,##0.00"/>
    <numFmt numFmtId="170" formatCode="&quot;CHF&quot;\ #,##0"/>
    <numFmt numFmtId="171" formatCode="0.000000000000000%"/>
    <numFmt numFmtId="172" formatCode="0.00000%"/>
    <numFmt numFmtId="173" formatCode="0.000000000000%"/>
    <numFmt numFmtId="174" formatCode="0.0000000000%"/>
    <numFmt numFmtId="175" formatCode="0.00000000000%"/>
    <numFmt numFmtId="176" formatCode="0.00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b/>
      <sz val="11"/>
      <color theme="1"/>
      <name val="Arial"/>
      <family val="2"/>
    </font>
    <font>
      <sz val="10"/>
      <color rgb="FFFF000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9"/>
      <color rgb="FF000000"/>
      <name val="Arial"/>
      <family val="2"/>
    </font>
    <font>
      <sz val="8"/>
      <color theme="0"/>
      <name val="Arial"/>
      <family val="2"/>
    </font>
    <font>
      <sz val="11"/>
      <name val="Arial"/>
      <family val="2"/>
    </font>
    <font>
      <sz val="12"/>
      <color theme="0"/>
      <name val="Arial"/>
      <family val="2"/>
    </font>
    <font>
      <sz val="16"/>
      <color theme="0"/>
      <name val="Arial"/>
      <family val="2"/>
    </font>
    <font>
      <sz val="18"/>
      <color theme="0"/>
      <name val="Arial"/>
      <family val="2"/>
    </font>
    <font>
      <sz val="11"/>
      <color rgb="FFFFFFFF"/>
      <name val="Arial"/>
      <family val="2"/>
    </font>
    <font>
      <sz val="11"/>
      <color rgb="FF3274D4"/>
      <name val="Arial"/>
      <family val="2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5E2F7"/>
        <bgColor indexed="64"/>
      </patternFill>
    </fill>
    <fill>
      <patternFill patternType="solid">
        <fgColor rgb="FF2255A2"/>
        <bgColor indexed="64"/>
      </patternFill>
    </fill>
    <fill>
      <patternFill patternType="solid">
        <fgColor rgb="FFACC7EE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4" tint="0.79998168889431442"/>
      </left>
      <right style="thin">
        <color theme="4" tint="0.79998168889431442"/>
      </right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/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4" fillId="0" borderId="0"/>
    <xf numFmtId="0" fontId="19" fillId="0" borderId="0"/>
    <xf numFmtId="0" fontId="27" fillId="0" borderId="0"/>
  </cellStyleXfs>
  <cellXfs count="245">
    <xf numFmtId="0" fontId="0" fillId="0" borderId="0" xfId="0"/>
    <xf numFmtId="43" fontId="9" fillId="2" borderId="3" xfId="2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left" vertical="center" indent="1"/>
    </xf>
    <xf numFmtId="9" fontId="12" fillId="3" borderId="1" xfId="1" applyFont="1" applyFill="1" applyBorder="1" applyAlignment="1">
      <alignment vertical="center"/>
    </xf>
    <xf numFmtId="9" fontId="12" fillId="3" borderId="1" xfId="1" applyFont="1" applyFill="1" applyBorder="1" applyAlignment="1">
      <alignment horizontal="left" vertical="center" indent="1"/>
    </xf>
    <xf numFmtId="0" fontId="8" fillId="0" borderId="0" xfId="0" applyFont="1"/>
    <xf numFmtId="14" fontId="8" fillId="0" borderId="0" xfId="0" applyNumberFormat="1" applyFont="1"/>
    <xf numFmtId="10" fontId="8" fillId="0" borderId="0" xfId="1" applyNumberFormat="1" applyFont="1"/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3" fillId="3" borderId="0" xfId="0" applyFont="1" applyFill="1"/>
    <xf numFmtId="10" fontId="8" fillId="3" borderId="0" xfId="1" applyNumberFormat="1" applyFont="1" applyFill="1"/>
    <xf numFmtId="0" fontId="13" fillId="3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2" borderId="0" xfId="0" applyFont="1" applyFill="1" applyAlignment="1">
      <alignment horizontal="left" vertical="center"/>
    </xf>
    <xf numFmtId="0" fontId="8" fillId="3" borderId="0" xfId="0" applyFont="1" applyFill="1"/>
    <xf numFmtId="0" fontId="8" fillId="4" borderId="0" xfId="0" applyFont="1" applyFill="1"/>
    <xf numFmtId="0" fontId="8" fillId="0" borderId="6" xfId="0" applyFont="1" applyBorder="1"/>
    <xf numFmtId="0" fontId="8" fillId="2" borderId="0" xfId="0" applyFont="1" applyFill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8" fillId="0" borderId="6" xfId="0" applyFont="1" applyBorder="1" applyAlignment="1">
      <alignment horizontal="left"/>
    </xf>
    <xf numFmtId="3" fontId="8" fillId="0" borderId="0" xfId="0" applyNumberFormat="1" applyFont="1"/>
    <xf numFmtId="17" fontId="8" fillId="3" borderId="0" xfId="0" applyNumberFormat="1" applyFont="1" applyFill="1" applyAlignment="1">
      <alignment horizontal="left"/>
    </xf>
    <xf numFmtId="0" fontId="8" fillId="4" borderId="7" xfId="0" applyFont="1" applyFill="1" applyBorder="1"/>
    <xf numFmtId="0" fontId="8" fillId="8" borderId="0" xfId="0" applyFont="1" applyFill="1"/>
    <xf numFmtId="10" fontId="8" fillId="8" borderId="0" xfId="1" applyNumberFormat="1" applyFont="1" applyFill="1"/>
    <xf numFmtId="10" fontId="8" fillId="8" borderId="0" xfId="0" applyNumberFormat="1" applyFont="1" applyFill="1"/>
    <xf numFmtId="165" fontId="8" fillId="8" borderId="0" xfId="2" applyNumberFormat="1" applyFont="1" applyFill="1"/>
    <xf numFmtId="0" fontId="8" fillId="8" borderId="1" xfId="0" applyFont="1" applyFill="1" applyBorder="1" applyAlignment="1">
      <alignment horizontal="left" vertical="center" wrapText="1" indent="1"/>
    </xf>
    <xf numFmtId="9" fontId="8" fillId="8" borderId="1" xfId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21" fillId="2" borderId="18" xfId="0" applyFont="1" applyFill="1" applyBorder="1" applyAlignment="1">
      <alignment horizontal="center" vertical="center"/>
    </xf>
    <xf numFmtId="10" fontId="21" fillId="4" borderId="14" xfId="0" applyNumberFormat="1" applyFont="1" applyFill="1" applyBorder="1" applyAlignment="1">
      <alignment horizontal="center" vertical="center"/>
    </xf>
    <xf numFmtId="164" fontId="21" fillId="4" borderId="15" xfId="1" applyNumberFormat="1" applyFont="1" applyFill="1" applyBorder="1" applyAlignment="1">
      <alignment horizontal="center" vertical="center"/>
    </xf>
    <xf numFmtId="3" fontId="21" fillId="4" borderId="14" xfId="0" applyNumberFormat="1" applyFont="1" applyFill="1" applyBorder="1" applyAlignment="1">
      <alignment horizontal="center" vertical="center"/>
    </xf>
    <xf numFmtId="3" fontId="21" fillId="5" borderId="16" xfId="0" applyNumberFormat="1" applyFont="1" applyFill="1" applyBorder="1" applyAlignment="1">
      <alignment horizontal="center" vertical="center"/>
    </xf>
    <xf numFmtId="10" fontId="21" fillId="5" borderId="16" xfId="0" applyNumberFormat="1" applyFont="1" applyFill="1" applyBorder="1" applyAlignment="1">
      <alignment horizontal="center" vertical="center"/>
    </xf>
    <xf numFmtId="10" fontId="21" fillId="4" borderId="16" xfId="0" applyNumberFormat="1" applyFont="1" applyFill="1" applyBorder="1" applyAlignment="1">
      <alignment horizontal="center" vertical="center"/>
    </xf>
    <xf numFmtId="166" fontId="8" fillId="0" borderId="0" xfId="2" applyNumberFormat="1" applyFont="1"/>
    <xf numFmtId="165" fontId="8" fillId="0" borderId="0" xfId="2" applyNumberFormat="1" applyFont="1"/>
    <xf numFmtId="0" fontId="9" fillId="2" borderId="27" xfId="0" applyFont="1" applyFill="1" applyBorder="1" applyAlignment="1">
      <alignment horizontal="center" vertical="center" wrapText="1"/>
    </xf>
    <xf numFmtId="9" fontId="8" fillId="8" borderId="28" xfId="1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 wrapText="1"/>
    </xf>
    <xf numFmtId="9" fontId="8" fillId="8" borderId="30" xfId="1" applyFont="1" applyFill="1" applyBorder="1" applyAlignment="1">
      <alignment horizontal="center" vertical="center"/>
    </xf>
    <xf numFmtId="10" fontId="21" fillId="4" borderId="31" xfId="0" applyNumberFormat="1" applyFont="1" applyFill="1" applyBorder="1" applyAlignment="1">
      <alignment horizontal="center" vertical="center"/>
    </xf>
    <xf numFmtId="10" fontId="21" fillId="5" borderId="31" xfId="0" applyNumberFormat="1" applyFont="1" applyFill="1" applyBorder="1" applyAlignment="1">
      <alignment horizontal="center" vertical="center"/>
    </xf>
    <xf numFmtId="0" fontId="23" fillId="2" borderId="0" xfId="0" applyFont="1" applyFill="1" applyAlignment="1">
      <alignment vertical="center"/>
    </xf>
    <xf numFmtId="0" fontId="24" fillId="2" borderId="0" xfId="0" applyFont="1" applyFill="1"/>
    <xf numFmtId="0" fontId="25" fillId="6" borderId="0" xfId="0" applyFont="1" applyFill="1" applyAlignment="1">
      <alignment horizontal="right"/>
    </xf>
    <xf numFmtId="0" fontId="6" fillId="0" borderId="0" xfId="0" applyFont="1"/>
    <xf numFmtId="0" fontId="18" fillId="6" borderId="12" xfId="0" applyFont="1" applyFill="1" applyBorder="1" applyAlignment="1">
      <alignment horizontal="center" vertical="center"/>
    </xf>
    <xf numFmtId="0" fontId="18" fillId="6" borderId="13" xfId="0" applyFont="1" applyFill="1" applyBorder="1" applyAlignment="1">
      <alignment horizontal="center" wrapText="1"/>
    </xf>
    <xf numFmtId="0" fontId="18" fillId="6" borderId="8" xfId="0" applyFont="1" applyFill="1" applyBorder="1" applyAlignment="1">
      <alignment horizontal="center" wrapText="1"/>
    </xf>
    <xf numFmtId="17" fontId="18" fillId="6" borderId="9" xfId="0" applyNumberFormat="1" applyFont="1" applyFill="1" applyBorder="1" applyAlignment="1">
      <alignment horizontal="center" wrapText="1"/>
    </xf>
    <xf numFmtId="2" fontId="8" fillId="0" borderId="0" xfId="1" applyNumberFormat="1" applyFont="1"/>
    <xf numFmtId="3" fontId="21" fillId="9" borderId="17" xfId="0" applyNumberFormat="1" applyFont="1" applyFill="1" applyBorder="1" applyAlignment="1">
      <alignment horizontal="center" vertical="center"/>
    </xf>
    <xf numFmtId="0" fontId="21" fillId="2" borderId="19" xfId="0" applyFont="1" applyFill="1" applyBorder="1" applyAlignment="1">
      <alignment horizontal="center" vertical="center"/>
    </xf>
    <xf numFmtId="1" fontId="21" fillId="2" borderId="34" xfId="0" applyNumberFormat="1" applyFont="1" applyFill="1" applyBorder="1" applyAlignment="1">
      <alignment horizontal="center" vertical="center"/>
    </xf>
    <xf numFmtId="3" fontId="21" fillId="9" borderId="18" xfId="1" applyNumberFormat="1" applyFont="1" applyFill="1" applyBorder="1" applyAlignment="1">
      <alignment horizontal="center" vertical="center"/>
    </xf>
    <xf numFmtId="14" fontId="0" fillId="4" borderId="0" xfId="0" applyNumberFormat="1" applyFill="1"/>
    <xf numFmtId="43" fontId="0" fillId="4" borderId="0" xfId="2" applyFont="1" applyFill="1"/>
    <xf numFmtId="9" fontId="0" fillId="4" borderId="0" xfId="2" applyNumberFormat="1" applyFont="1" applyFill="1"/>
    <xf numFmtId="167" fontId="0" fillId="4" borderId="0" xfId="2" applyNumberFormat="1" applyFont="1" applyFill="1"/>
    <xf numFmtId="10" fontId="0" fillId="4" borderId="0" xfId="1" applyNumberFormat="1" applyFont="1" applyFill="1"/>
    <xf numFmtId="0" fontId="0" fillId="4" borderId="0" xfId="0" applyFill="1"/>
    <xf numFmtId="43" fontId="0" fillId="4" borderId="6" xfId="2" applyFont="1" applyFill="1" applyBorder="1"/>
    <xf numFmtId="0" fontId="9" fillId="4" borderId="0" xfId="0" applyFont="1" applyFill="1" applyAlignment="1">
      <alignment vertical="center" wrapText="1"/>
    </xf>
    <xf numFmtId="0" fontId="9" fillId="4" borderId="26" xfId="0" applyFont="1" applyFill="1" applyBorder="1" applyAlignment="1">
      <alignment vertical="center" wrapText="1"/>
    </xf>
    <xf numFmtId="0" fontId="8" fillId="4" borderId="0" xfId="0" quotePrefix="1" applyFont="1" applyFill="1" applyAlignment="1">
      <alignment vertical="center"/>
    </xf>
    <xf numFmtId="43" fontId="0" fillId="4" borderId="0" xfId="0" applyNumberFormat="1" applyFill="1"/>
    <xf numFmtId="0" fontId="8" fillId="4" borderId="6" xfId="0" applyFont="1" applyFill="1" applyBorder="1"/>
    <xf numFmtId="10" fontId="8" fillId="4" borderId="0" xfId="0" applyNumberFormat="1" applyFont="1" applyFill="1"/>
    <xf numFmtId="10" fontId="16" fillId="4" borderId="0" xfId="1" applyNumberFormat="1" applyFont="1" applyFill="1"/>
    <xf numFmtId="14" fontId="8" fillId="4" borderId="0" xfId="0" applyNumberFormat="1" applyFont="1" applyFill="1" applyAlignment="1">
      <alignment horizontal="left"/>
    </xf>
    <xf numFmtId="10" fontId="8" fillId="4" borderId="0" xfId="1" applyNumberFormat="1" applyFont="1" applyFill="1"/>
    <xf numFmtId="14" fontId="8" fillId="4" borderId="0" xfId="1" applyNumberFormat="1" applyFont="1" applyFill="1"/>
    <xf numFmtId="14" fontId="8" fillId="4" borderId="0" xfId="0" applyNumberFormat="1" applyFont="1" applyFill="1"/>
    <xf numFmtId="3" fontId="8" fillId="4" borderId="0" xfId="0" applyNumberFormat="1" applyFont="1" applyFill="1"/>
    <xf numFmtId="0" fontId="8" fillId="4" borderId="0" xfId="0" applyFont="1" applyFill="1" applyAlignment="1">
      <alignment horizontal="left"/>
    </xf>
    <xf numFmtId="0" fontId="8" fillId="4" borderId="0" xfId="0" applyFont="1" applyFill="1" applyAlignment="1">
      <alignment wrapText="1"/>
    </xf>
    <xf numFmtId="43" fontId="8" fillId="4" borderId="0" xfId="2" applyFont="1" applyFill="1"/>
    <xf numFmtId="0" fontId="8" fillId="4" borderId="0" xfId="0" quotePrefix="1" applyFont="1" applyFill="1"/>
    <xf numFmtId="2" fontId="8" fillId="4" borderId="0" xfId="1" applyNumberFormat="1" applyFont="1" applyFill="1"/>
    <xf numFmtId="0" fontId="6" fillId="4" borderId="0" xfId="0" applyFont="1" applyFill="1"/>
    <xf numFmtId="0" fontId="15" fillId="4" borderId="0" xfId="0" applyFont="1" applyFill="1"/>
    <xf numFmtId="0" fontId="26" fillId="4" borderId="0" xfId="0" applyFont="1" applyFill="1"/>
    <xf numFmtId="0" fontId="6" fillId="4" borderId="0" xfId="0" applyFont="1" applyFill="1" applyAlignment="1">
      <alignment horizontal="right"/>
    </xf>
    <xf numFmtId="0" fontId="6" fillId="4" borderId="0" xfId="0" applyFont="1" applyFill="1" applyAlignment="1">
      <alignment vertical="center"/>
    </xf>
    <xf numFmtId="0" fontId="18" fillId="4" borderId="0" xfId="0" applyFont="1" applyFill="1" applyAlignment="1">
      <alignment wrapText="1"/>
    </xf>
    <xf numFmtId="10" fontId="21" fillId="4" borderId="0" xfId="0" applyNumberFormat="1" applyFont="1" applyFill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10" fontId="6" fillId="4" borderId="0" xfId="0" applyNumberFormat="1" applyFont="1" applyFill="1"/>
    <xf numFmtId="0" fontId="26" fillId="0" borderId="0" xfId="0" applyFont="1"/>
    <xf numFmtId="0" fontId="29" fillId="0" borderId="0" xfId="0" applyFont="1"/>
    <xf numFmtId="165" fontId="8" fillId="4" borderId="0" xfId="1" applyNumberFormat="1" applyFont="1" applyFill="1"/>
    <xf numFmtId="0" fontId="30" fillId="4" borderId="0" xfId="0" applyFont="1" applyFill="1" applyAlignment="1">
      <alignment vertical="center"/>
    </xf>
    <xf numFmtId="164" fontId="21" fillId="4" borderId="39" xfId="0" applyNumberFormat="1" applyFont="1" applyFill="1" applyBorder="1" applyAlignment="1">
      <alignment horizontal="center" vertical="center"/>
    </xf>
    <xf numFmtId="164" fontId="21" fillId="9" borderId="39" xfId="0" applyNumberFormat="1" applyFont="1" applyFill="1" applyBorder="1" applyAlignment="1">
      <alignment horizontal="center" vertical="center"/>
    </xf>
    <xf numFmtId="0" fontId="21" fillId="2" borderId="42" xfId="0" applyFont="1" applyFill="1" applyBorder="1" applyAlignment="1">
      <alignment horizontal="center" vertical="center"/>
    </xf>
    <xf numFmtId="0" fontId="18" fillId="6" borderId="44" xfId="0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center" wrapText="1"/>
    </xf>
    <xf numFmtId="17" fontId="18" fillId="4" borderId="0" xfId="0" applyNumberFormat="1" applyFont="1" applyFill="1" applyAlignment="1">
      <alignment horizontal="center" wrapText="1"/>
    </xf>
    <xf numFmtId="164" fontId="21" fillId="9" borderId="35" xfId="0" applyNumberFormat="1" applyFont="1" applyFill="1" applyBorder="1" applyAlignment="1">
      <alignment horizontal="center" vertical="center"/>
    </xf>
    <xf numFmtId="164" fontId="21" fillId="4" borderId="40" xfId="0" applyNumberFormat="1" applyFont="1" applyFill="1" applyBorder="1" applyAlignment="1">
      <alignment horizontal="center" vertical="center"/>
    </xf>
    <xf numFmtId="17" fontId="18" fillId="6" borderId="11" xfId="0" applyNumberFormat="1" applyFont="1" applyFill="1" applyBorder="1" applyAlignment="1">
      <alignment horizontal="center" wrapText="1"/>
    </xf>
    <xf numFmtId="1" fontId="21" fillId="2" borderId="46" xfId="0" applyNumberFormat="1" applyFont="1" applyFill="1" applyBorder="1" applyAlignment="1">
      <alignment horizontal="center" vertical="center"/>
    </xf>
    <xf numFmtId="0" fontId="4" fillId="7" borderId="47" xfId="0" applyFont="1" applyFill="1" applyBorder="1" applyAlignment="1">
      <alignment horizontal="left" vertical="center"/>
    </xf>
    <xf numFmtId="1" fontId="21" fillId="2" borderId="48" xfId="0" applyNumberFormat="1" applyFont="1" applyFill="1" applyBorder="1" applyAlignment="1">
      <alignment horizontal="center" vertical="center"/>
    </xf>
    <xf numFmtId="14" fontId="22" fillId="6" borderId="49" xfId="0" applyNumberFormat="1" applyFont="1" applyFill="1" applyBorder="1" applyAlignment="1">
      <alignment horizontal="left" vertical="top"/>
    </xf>
    <xf numFmtId="0" fontId="18" fillId="6" borderId="47" xfId="0" applyFont="1" applyFill="1" applyBorder="1"/>
    <xf numFmtId="0" fontId="6" fillId="7" borderId="47" xfId="0" applyFont="1" applyFill="1" applyBorder="1" applyAlignment="1">
      <alignment horizontal="left" vertical="center"/>
    </xf>
    <xf numFmtId="1" fontId="21" fillId="2" borderId="57" xfId="0" applyNumberFormat="1" applyFont="1" applyFill="1" applyBorder="1" applyAlignment="1">
      <alignment horizontal="center" vertical="center"/>
    </xf>
    <xf numFmtId="0" fontId="18" fillId="6" borderId="60" xfId="0" applyFont="1" applyFill="1" applyBorder="1" applyAlignment="1">
      <alignment vertical="center"/>
    </xf>
    <xf numFmtId="0" fontId="5" fillId="7" borderId="61" xfId="0" applyFont="1" applyFill="1" applyBorder="1" applyAlignment="1">
      <alignment horizontal="left" vertical="center"/>
    </xf>
    <xf numFmtId="3" fontId="21" fillId="4" borderId="62" xfId="0" applyNumberFormat="1" applyFont="1" applyFill="1" applyBorder="1" applyAlignment="1">
      <alignment horizontal="center" vertical="center"/>
    </xf>
    <xf numFmtId="164" fontId="21" fillId="4" borderId="63" xfId="1" applyNumberFormat="1" applyFont="1" applyFill="1" applyBorder="1" applyAlignment="1">
      <alignment horizontal="center" vertical="center"/>
    </xf>
    <xf numFmtId="164" fontId="21" fillId="2" borderId="63" xfId="1" applyNumberFormat="1" applyFont="1" applyFill="1" applyBorder="1" applyAlignment="1">
      <alignment horizontal="center" vertical="center"/>
    </xf>
    <xf numFmtId="164" fontId="21" fillId="2" borderId="64" xfId="1" applyNumberFormat="1" applyFont="1" applyFill="1" applyBorder="1" applyAlignment="1">
      <alignment horizontal="center" vertical="center"/>
    </xf>
    <xf numFmtId="10" fontId="21" fillId="4" borderId="65" xfId="0" applyNumberFormat="1" applyFont="1" applyFill="1" applyBorder="1" applyAlignment="1">
      <alignment horizontal="center" vertical="center"/>
    </xf>
    <xf numFmtId="0" fontId="21" fillId="2" borderId="67" xfId="0" applyFont="1" applyFill="1" applyBorder="1" applyAlignment="1">
      <alignment horizontal="center" vertical="center"/>
    </xf>
    <xf numFmtId="0" fontId="21" fillId="2" borderId="68" xfId="0" applyFont="1" applyFill="1" applyBorder="1" applyAlignment="1">
      <alignment horizontal="center" vertical="center"/>
    </xf>
    <xf numFmtId="0" fontId="3" fillId="7" borderId="47" xfId="0" applyFont="1" applyFill="1" applyBorder="1" applyAlignment="1">
      <alignment vertical="center"/>
    </xf>
    <xf numFmtId="10" fontId="21" fillId="5" borderId="69" xfId="0" applyNumberFormat="1" applyFont="1" applyFill="1" applyBorder="1" applyAlignment="1">
      <alignment horizontal="center" vertical="center"/>
    </xf>
    <xf numFmtId="0" fontId="3" fillId="7" borderId="70" xfId="0" applyFont="1" applyFill="1" applyBorder="1" applyAlignment="1">
      <alignment vertical="center"/>
    </xf>
    <xf numFmtId="10" fontId="21" fillId="4" borderId="71" xfId="0" applyNumberFormat="1" applyFont="1" applyFill="1" applyBorder="1" applyAlignment="1">
      <alignment horizontal="center" vertical="center"/>
    </xf>
    <xf numFmtId="0" fontId="10" fillId="6" borderId="49" xfId="0" applyFont="1" applyFill="1" applyBorder="1" applyAlignment="1">
      <alignment horizontal="left" vertical="top"/>
    </xf>
    <xf numFmtId="0" fontId="20" fillId="6" borderId="47" xfId="0" applyFont="1" applyFill="1" applyBorder="1"/>
    <xf numFmtId="0" fontId="6" fillId="7" borderId="47" xfId="0" applyFont="1" applyFill="1" applyBorder="1" applyAlignment="1">
      <alignment vertical="center"/>
    </xf>
    <xf numFmtId="10" fontId="21" fillId="4" borderId="45" xfId="0" applyNumberFormat="1" applyFont="1" applyFill="1" applyBorder="1" applyAlignment="1">
      <alignment horizontal="center" vertical="center"/>
    </xf>
    <xf numFmtId="0" fontId="10" fillId="6" borderId="49" xfId="0" applyFont="1" applyFill="1" applyBorder="1" applyAlignment="1">
      <alignment vertical="top"/>
    </xf>
    <xf numFmtId="0" fontId="3" fillId="7" borderId="47" xfId="0" applyFont="1" applyFill="1" applyBorder="1" applyAlignment="1">
      <alignment horizontal="left" vertical="center"/>
    </xf>
    <xf numFmtId="0" fontId="6" fillId="7" borderId="70" xfId="0" applyFont="1" applyFill="1" applyBorder="1" applyAlignment="1">
      <alignment horizontal="left" vertical="center"/>
    </xf>
    <xf numFmtId="10" fontId="21" fillId="9" borderId="71" xfId="0" applyNumberFormat="1" applyFont="1" applyFill="1" applyBorder="1" applyAlignment="1">
      <alignment horizontal="center" vertical="center"/>
    </xf>
    <xf numFmtId="0" fontId="18" fillId="6" borderId="49" xfId="0" applyFont="1" applyFill="1" applyBorder="1" applyAlignment="1">
      <alignment vertical="center" wrapText="1"/>
    </xf>
    <xf numFmtId="17" fontId="18" fillId="6" borderId="50" xfId="0" applyNumberFormat="1" applyFont="1" applyFill="1" applyBorder="1" applyAlignment="1">
      <alignment horizontal="center" vertical="center" wrapText="1"/>
    </xf>
    <xf numFmtId="17" fontId="18" fillId="6" borderId="74" xfId="0" applyNumberFormat="1" applyFont="1" applyFill="1" applyBorder="1" applyAlignment="1">
      <alignment horizontal="center" vertical="center" wrapText="1"/>
    </xf>
    <xf numFmtId="10" fontId="21" fillId="4" borderId="75" xfId="0" applyNumberFormat="1" applyFont="1" applyFill="1" applyBorder="1" applyAlignment="1">
      <alignment horizontal="center" vertical="center"/>
    </xf>
    <xf numFmtId="10" fontId="21" fillId="4" borderId="69" xfId="0" applyNumberFormat="1" applyFont="1" applyFill="1" applyBorder="1" applyAlignment="1">
      <alignment horizontal="center" vertical="center"/>
    </xf>
    <xf numFmtId="10" fontId="21" fillId="4" borderId="48" xfId="0" applyNumberFormat="1" applyFont="1" applyFill="1" applyBorder="1" applyAlignment="1">
      <alignment horizontal="center" vertical="center"/>
    </xf>
    <xf numFmtId="10" fontId="21" fillId="5" borderId="48" xfId="0" applyNumberFormat="1" applyFont="1" applyFill="1" applyBorder="1" applyAlignment="1">
      <alignment horizontal="center" vertical="center"/>
    </xf>
    <xf numFmtId="0" fontId="3" fillId="7" borderId="70" xfId="0" applyFont="1" applyFill="1" applyBorder="1" applyAlignment="1">
      <alignment horizontal="left" vertical="center"/>
    </xf>
    <xf numFmtId="10" fontId="21" fillId="4" borderId="76" xfId="0" applyNumberFormat="1" applyFont="1" applyFill="1" applyBorder="1" applyAlignment="1">
      <alignment horizontal="center" vertical="center"/>
    </xf>
    <xf numFmtId="0" fontId="18" fillId="6" borderId="51" xfId="0" applyFont="1" applyFill="1" applyBorder="1" applyAlignment="1">
      <alignment horizontal="center" wrapText="1"/>
    </xf>
    <xf numFmtId="0" fontId="18" fillId="6" borderId="50" xfId="0" applyFont="1" applyFill="1" applyBorder="1" applyAlignment="1">
      <alignment horizontal="center" wrapText="1"/>
    </xf>
    <xf numFmtId="0" fontId="18" fillId="6" borderId="74" xfId="0" applyFont="1" applyFill="1" applyBorder="1" applyAlignment="1">
      <alignment horizontal="center" wrapText="1"/>
    </xf>
    <xf numFmtId="17" fontId="18" fillId="6" borderId="77" xfId="0" applyNumberFormat="1" applyFont="1" applyFill="1" applyBorder="1" applyAlignment="1">
      <alignment horizontal="center" wrapText="1"/>
    </xf>
    <xf numFmtId="0" fontId="6" fillId="7" borderId="60" xfId="0" applyFont="1" applyFill="1" applyBorder="1" applyAlignment="1">
      <alignment horizontal="left" vertical="center"/>
    </xf>
    <xf numFmtId="0" fontId="10" fillId="6" borderId="79" xfId="0" applyFont="1" applyFill="1" applyBorder="1" applyAlignment="1">
      <alignment vertical="top"/>
    </xf>
    <xf numFmtId="10" fontId="21" fillId="4" borderId="80" xfId="0" applyNumberFormat="1" applyFont="1" applyFill="1" applyBorder="1" applyAlignment="1">
      <alignment horizontal="center" vertical="center"/>
    </xf>
    <xf numFmtId="9" fontId="11" fillId="3" borderId="1" xfId="1" applyFont="1" applyFill="1" applyBorder="1" applyAlignment="1">
      <alignment horizontal="center" vertical="center"/>
    </xf>
    <xf numFmtId="0" fontId="17" fillId="6" borderId="50" xfId="0" applyFont="1" applyFill="1" applyBorder="1" applyAlignment="1">
      <alignment horizontal="center" vertical="center" wrapText="1"/>
    </xf>
    <xf numFmtId="0" fontId="17" fillId="6" borderId="51" xfId="0" applyFont="1" applyFill="1" applyBorder="1" applyAlignment="1">
      <alignment horizontal="center" vertical="center" wrapText="1"/>
    </xf>
    <xf numFmtId="0" fontId="17" fillId="6" borderId="72" xfId="0" applyFont="1" applyFill="1" applyBorder="1" applyAlignment="1">
      <alignment horizontal="center" vertical="center" wrapText="1"/>
    </xf>
    <xf numFmtId="0" fontId="2" fillId="4" borderId="0" xfId="0" applyFont="1" applyFill="1"/>
    <xf numFmtId="0" fontId="1" fillId="7" borderId="47" xfId="0" applyFont="1" applyFill="1" applyBorder="1" applyAlignment="1">
      <alignment horizontal="left" vertical="center"/>
    </xf>
    <xf numFmtId="0" fontId="1" fillId="7" borderId="70" xfId="0" applyFont="1" applyFill="1" applyBorder="1" applyAlignment="1">
      <alignment horizontal="left" vertical="center"/>
    </xf>
    <xf numFmtId="168" fontId="6" fillId="4" borderId="0" xfId="0" applyNumberFormat="1" applyFont="1" applyFill="1"/>
    <xf numFmtId="169" fontId="21" fillId="4" borderId="66" xfId="0" applyNumberFormat="1" applyFont="1" applyFill="1" applyBorder="1" applyAlignment="1">
      <alignment horizontal="center" vertical="center"/>
    </xf>
    <xf numFmtId="170" fontId="21" fillId="4" borderId="34" xfId="0" applyNumberFormat="1" applyFont="1" applyFill="1" applyBorder="1" applyAlignment="1">
      <alignment horizontal="center" vertical="center"/>
    </xf>
    <xf numFmtId="170" fontId="21" fillId="4" borderId="35" xfId="0" applyNumberFormat="1" applyFont="1" applyFill="1" applyBorder="1" applyAlignment="1">
      <alignment horizontal="center" vertical="center"/>
    </xf>
    <xf numFmtId="170" fontId="21" fillId="9" borderId="34" xfId="0" applyNumberFormat="1" applyFont="1" applyFill="1" applyBorder="1" applyAlignment="1">
      <alignment horizontal="center" vertical="center"/>
    </xf>
    <xf numFmtId="170" fontId="21" fillId="9" borderId="35" xfId="2" applyNumberFormat="1" applyFont="1" applyFill="1" applyBorder="1" applyAlignment="1">
      <alignment horizontal="center" vertical="center"/>
    </xf>
    <xf numFmtId="170" fontId="21" fillId="4" borderId="66" xfId="0" applyNumberFormat="1" applyFont="1" applyFill="1" applyBorder="1" applyAlignment="1">
      <alignment horizontal="center" vertical="center"/>
    </xf>
    <xf numFmtId="0" fontId="0" fillId="0" borderId="1" xfId="0" applyBorder="1"/>
    <xf numFmtId="17" fontId="0" fillId="0" borderId="1" xfId="0" applyNumberFormat="1" applyBorder="1"/>
    <xf numFmtId="10" fontId="0" fillId="0" borderId="1" xfId="0" applyNumberFormat="1" applyBorder="1"/>
    <xf numFmtId="169" fontId="21" fillId="9" borderId="43" xfId="1" applyNumberFormat="1" applyFont="1" applyFill="1" applyBorder="1" applyAlignment="1">
      <alignment horizontal="center" vertical="center"/>
    </xf>
    <xf numFmtId="17" fontId="0" fillId="0" borderId="0" xfId="0" applyNumberFormat="1"/>
    <xf numFmtId="169" fontId="0" fillId="0" borderId="1" xfId="0" applyNumberFormat="1" applyBorder="1"/>
    <xf numFmtId="171" fontId="0" fillId="0" borderId="0" xfId="0" applyNumberFormat="1"/>
    <xf numFmtId="172" fontId="0" fillId="0" borderId="1" xfId="0" applyNumberFormat="1" applyBorder="1"/>
    <xf numFmtId="10" fontId="0" fillId="0" borderId="0" xfId="0" applyNumberFormat="1"/>
    <xf numFmtId="0" fontId="0" fillId="0" borderId="83" xfId="0" applyBorder="1"/>
    <xf numFmtId="173" fontId="0" fillId="0" borderId="1" xfId="0" applyNumberFormat="1" applyBorder="1"/>
    <xf numFmtId="174" fontId="0" fillId="0" borderId="1" xfId="0" applyNumberFormat="1" applyBorder="1"/>
    <xf numFmtId="175" fontId="0" fillId="0" borderId="1" xfId="0" applyNumberFormat="1" applyBorder="1"/>
    <xf numFmtId="0" fontId="31" fillId="0" borderId="0" xfId="0" applyFont="1"/>
    <xf numFmtId="17" fontId="31" fillId="0" borderId="81" xfId="0" applyNumberFormat="1" applyFont="1" applyBorder="1"/>
    <xf numFmtId="17" fontId="31" fillId="0" borderId="1" xfId="0" applyNumberFormat="1" applyFont="1" applyBorder="1"/>
    <xf numFmtId="17" fontId="31" fillId="0" borderId="0" xfId="0" applyNumberFormat="1" applyFont="1"/>
    <xf numFmtId="176" fontId="31" fillId="0" borderId="0" xfId="0" applyNumberFormat="1" applyFont="1"/>
    <xf numFmtId="168" fontId="31" fillId="0" borderId="0" xfId="0" applyNumberFormat="1" applyFont="1"/>
    <xf numFmtId="0" fontId="31" fillId="0" borderId="1" xfId="0" applyFont="1" applyBorder="1"/>
    <xf numFmtId="0" fontId="31" fillId="0" borderId="82" xfId="0" applyFont="1" applyBorder="1"/>
    <xf numFmtId="0" fontId="31" fillId="0" borderId="33" xfId="0" applyFont="1" applyBorder="1"/>
    <xf numFmtId="176" fontId="21" fillId="4" borderId="14" xfId="0" applyNumberFormat="1" applyFont="1" applyFill="1" applyBorder="1" applyAlignment="1">
      <alignment horizontal="center" vertical="center"/>
    </xf>
    <xf numFmtId="176" fontId="21" fillId="4" borderId="75" xfId="0" applyNumberFormat="1" applyFont="1" applyFill="1" applyBorder="1" applyAlignment="1">
      <alignment horizontal="center" vertical="center"/>
    </xf>
    <xf numFmtId="176" fontId="21" fillId="9" borderId="17" xfId="0" applyNumberFormat="1" applyFont="1" applyFill="1" applyBorder="1" applyAlignment="1">
      <alignment horizontal="center" vertical="center"/>
    </xf>
    <xf numFmtId="176" fontId="21" fillId="9" borderId="78" xfId="0" applyNumberFormat="1" applyFont="1" applyFill="1" applyBorder="1" applyAlignment="1">
      <alignment horizontal="center" vertical="center"/>
    </xf>
    <xf numFmtId="176" fontId="21" fillId="9" borderId="71" xfId="0" applyNumberFormat="1" applyFont="1" applyFill="1" applyBorder="1" applyAlignment="1">
      <alignment horizontal="center" vertical="center"/>
    </xf>
    <xf numFmtId="176" fontId="21" fillId="9" borderId="76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10" fontId="0" fillId="0" borderId="0" xfId="1" applyNumberFormat="1" applyFont="1"/>
    <xf numFmtId="0" fontId="8" fillId="4" borderId="0" xfId="0" applyFont="1" applyFill="1" applyAlignment="1">
      <alignment horizontal="center"/>
    </xf>
    <xf numFmtId="0" fontId="9" fillId="2" borderId="25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43" fontId="9" fillId="2" borderId="2" xfId="2" applyFont="1" applyFill="1" applyBorder="1" applyAlignment="1">
      <alignment horizontal="center" vertical="center" wrapText="1"/>
    </xf>
    <xf numFmtId="43" fontId="9" fillId="2" borderId="9" xfId="2" applyFont="1" applyFill="1" applyBorder="1" applyAlignment="1">
      <alignment horizontal="center" vertical="center" wrapText="1"/>
    </xf>
    <xf numFmtId="43" fontId="9" fillId="2" borderId="3" xfId="2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 indent="1"/>
    </xf>
    <xf numFmtId="0" fontId="10" fillId="2" borderId="9" xfId="0" applyFont="1" applyFill="1" applyBorder="1" applyAlignment="1">
      <alignment horizontal="left" vertical="center" wrapText="1" indent="1"/>
    </xf>
    <xf numFmtId="0" fontId="10" fillId="2" borderId="10" xfId="0" applyFont="1" applyFill="1" applyBorder="1" applyAlignment="1">
      <alignment horizontal="left" vertical="center" wrapText="1" indent="1"/>
    </xf>
    <xf numFmtId="0" fontId="9" fillId="2" borderId="4" xfId="0" applyFont="1" applyFill="1" applyBorder="1" applyAlignment="1">
      <alignment horizontal="left" vertical="center" wrapText="1" indent="1"/>
    </xf>
    <xf numFmtId="0" fontId="9" fillId="2" borderId="20" xfId="0" applyFont="1" applyFill="1" applyBorder="1" applyAlignment="1">
      <alignment horizontal="left" vertical="center" wrapText="1" indent="1"/>
    </xf>
    <xf numFmtId="0" fontId="9" fillId="2" borderId="5" xfId="0" applyFont="1" applyFill="1" applyBorder="1" applyAlignment="1">
      <alignment horizontal="left" vertical="center" indent="1"/>
    </xf>
    <xf numFmtId="43" fontId="9" fillId="2" borderId="21" xfId="2" applyFont="1" applyFill="1" applyBorder="1" applyAlignment="1">
      <alignment horizontal="center" vertical="center"/>
    </xf>
    <xf numFmtId="43" fontId="9" fillId="2" borderId="13" xfId="2" applyFont="1" applyFill="1" applyBorder="1" applyAlignment="1">
      <alignment horizontal="center" vertical="center"/>
    </xf>
    <xf numFmtId="43" fontId="9" fillId="2" borderId="22" xfId="2" applyFont="1" applyFill="1" applyBorder="1" applyAlignment="1">
      <alignment horizontal="center" vertical="center"/>
    </xf>
    <xf numFmtId="43" fontId="9" fillId="2" borderId="23" xfId="2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 wrapText="1"/>
    </xf>
    <xf numFmtId="0" fontId="9" fillId="2" borderId="37" xfId="0" applyFont="1" applyFill="1" applyBorder="1" applyAlignment="1">
      <alignment horizontal="center" vertical="center" wrapText="1"/>
    </xf>
    <xf numFmtId="0" fontId="17" fillId="6" borderId="54" xfId="0" applyFont="1" applyFill="1" applyBorder="1" applyAlignment="1">
      <alignment horizontal="center" vertical="center" wrapText="1"/>
    </xf>
    <xf numFmtId="0" fontId="17" fillId="6" borderId="36" xfId="0" applyFont="1" applyFill="1" applyBorder="1" applyAlignment="1">
      <alignment horizontal="center" vertical="center" wrapText="1"/>
    </xf>
    <xf numFmtId="170" fontId="21" fillId="9" borderId="35" xfId="0" applyNumberFormat="1" applyFont="1" applyFill="1" applyBorder="1" applyAlignment="1">
      <alignment horizontal="center" vertical="center"/>
    </xf>
    <xf numFmtId="170" fontId="21" fillId="9" borderId="36" xfId="0" applyNumberFormat="1" applyFont="1" applyFill="1" applyBorder="1" applyAlignment="1">
      <alignment horizontal="center" vertical="center"/>
    </xf>
    <xf numFmtId="170" fontId="21" fillId="4" borderId="35" xfId="0" applyNumberFormat="1" applyFont="1" applyFill="1" applyBorder="1" applyAlignment="1">
      <alignment horizontal="center" vertical="center"/>
    </xf>
    <xf numFmtId="170" fontId="21" fillId="4" borderId="33" xfId="0" applyNumberFormat="1" applyFont="1" applyFill="1" applyBorder="1" applyAlignment="1">
      <alignment horizontal="center" vertical="center"/>
    </xf>
    <xf numFmtId="170" fontId="21" fillId="4" borderId="36" xfId="0" applyNumberFormat="1" applyFont="1" applyFill="1" applyBorder="1" applyAlignment="1">
      <alignment horizontal="center" vertical="center"/>
    </xf>
    <xf numFmtId="0" fontId="17" fillId="6" borderId="52" xfId="0" applyFont="1" applyFill="1" applyBorder="1" applyAlignment="1">
      <alignment horizontal="center" vertical="center"/>
    </xf>
    <xf numFmtId="0" fontId="17" fillId="6" borderId="53" xfId="0" applyFont="1" applyFill="1" applyBorder="1" applyAlignment="1">
      <alignment horizontal="center" vertical="center"/>
    </xf>
    <xf numFmtId="0" fontId="17" fillId="6" borderId="33" xfId="0" applyFont="1" applyFill="1" applyBorder="1" applyAlignment="1">
      <alignment horizontal="center" vertical="center" wrapText="1"/>
    </xf>
    <xf numFmtId="164" fontId="21" fillId="9" borderId="40" xfId="0" applyNumberFormat="1" applyFont="1" applyFill="1" applyBorder="1" applyAlignment="1">
      <alignment horizontal="center" vertical="center"/>
    </xf>
    <xf numFmtId="164" fontId="21" fillId="9" borderId="38" xfId="0" applyNumberFormat="1" applyFont="1" applyFill="1" applyBorder="1" applyAlignment="1">
      <alignment horizontal="center" vertical="center"/>
    </xf>
    <xf numFmtId="164" fontId="21" fillId="4" borderId="40" xfId="0" applyNumberFormat="1" applyFont="1" applyFill="1" applyBorder="1" applyAlignment="1">
      <alignment horizontal="center" vertical="center"/>
    </xf>
    <xf numFmtId="164" fontId="21" fillId="4" borderId="41" xfId="0" applyNumberFormat="1" applyFont="1" applyFill="1" applyBorder="1" applyAlignment="1">
      <alignment horizontal="center" vertical="center"/>
    </xf>
    <xf numFmtId="164" fontId="21" fillId="4" borderId="38" xfId="0" applyNumberFormat="1" applyFont="1" applyFill="1" applyBorder="1" applyAlignment="1">
      <alignment horizontal="center" vertical="center"/>
    </xf>
    <xf numFmtId="0" fontId="17" fillId="6" borderId="50" xfId="0" applyFont="1" applyFill="1" applyBorder="1" applyAlignment="1">
      <alignment horizontal="center" vertical="center" wrapText="1"/>
    </xf>
    <xf numFmtId="0" fontId="17" fillId="6" borderId="11" xfId="0" applyFont="1" applyFill="1" applyBorder="1" applyAlignment="1">
      <alignment horizontal="center" vertical="center" wrapText="1"/>
    </xf>
    <xf numFmtId="0" fontId="17" fillId="6" borderId="51" xfId="0" applyFont="1" applyFill="1" applyBorder="1" applyAlignment="1">
      <alignment horizontal="center" vertical="center" wrapText="1"/>
    </xf>
    <xf numFmtId="0" fontId="17" fillId="6" borderId="9" xfId="0" applyFont="1" applyFill="1" applyBorder="1" applyAlignment="1">
      <alignment horizontal="center" vertical="center" wrapText="1"/>
    </xf>
    <xf numFmtId="17" fontId="18" fillId="6" borderId="50" xfId="0" applyNumberFormat="1" applyFont="1" applyFill="1" applyBorder="1" applyAlignment="1">
      <alignment horizontal="center" wrapText="1"/>
    </xf>
    <xf numFmtId="17" fontId="18" fillId="6" borderId="11" xfId="0" applyNumberFormat="1" applyFont="1" applyFill="1" applyBorder="1" applyAlignment="1">
      <alignment horizontal="center" wrapText="1"/>
    </xf>
    <xf numFmtId="0" fontId="17" fillId="6" borderId="72" xfId="0" applyFont="1" applyFill="1" applyBorder="1" applyAlignment="1">
      <alignment horizontal="center" vertical="center" wrapText="1"/>
    </xf>
    <xf numFmtId="0" fontId="17" fillId="6" borderId="73" xfId="0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0" fontId="17" fillId="6" borderId="55" xfId="0" applyFont="1" applyFill="1" applyBorder="1" applyAlignment="1">
      <alignment horizontal="center" vertical="center" wrapText="1"/>
    </xf>
    <xf numFmtId="0" fontId="17" fillId="6" borderId="56" xfId="0" applyFont="1" applyFill="1" applyBorder="1" applyAlignment="1">
      <alignment horizontal="center" vertical="center" wrapText="1"/>
    </xf>
    <xf numFmtId="1" fontId="21" fillId="2" borderId="58" xfId="0" applyNumberFormat="1" applyFont="1" applyFill="1" applyBorder="1" applyAlignment="1">
      <alignment horizontal="center" vertical="center"/>
    </xf>
    <xf numFmtId="1" fontId="21" fillId="2" borderId="59" xfId="0" applyNumberFormat="1" applyFont="1" applyFill="1" applyBorder="1" applyAlignment="1">
      <alignment horizontal="center" vertical="center"/>
    </xf>
    <xf numFmtId="1" fontId="21" fillId="2" borderId="56" xfId="0" applyNumberFormat="1" applyFont="1" applyFill="1" applyBorder="1" applyAlignment="1">
      <alignment horizontal="center" vertical="center"/>
    </xf>
    <xf numFmtId="1" fontId="21" fillId="2" borderId="35" xfId="0" applyNumberFormat="1" applyFont="1" applyFill="1" applyBorder="1" applyAlignment="1">
      <alignment horizontal="center" vertical="center"/>
    </xf>
    <xf numFmtId="1" fontId="21" fillId="2" borderId="33" xfId="0" applyNumberFormat="1" applyFont="1" applyFill="1" applyBorder="1" applyAlignment="1">
      <alignment horizontal="center" vertical="center"/>
    </xf>
    <xf numFmtId="1" fontId="21" fillId="2" borderId="36" xfId="0" applyNumberFormat="1" applyFont="1" applyFill="1" applyBorder="1" applyAlignment="1">
      <alignment horizontal="center" vertical="center"/>
    </xf>
  </cellXfs>
  <cellStyles count="6">
    <cellStyle name="Komma" xfId="2" builtinId="3"/>
    <cellStyle name="Prozent" xfId="1" builtinId="5"/>
    <cellStyle name="Standard" xfId="0" builtinId="0"/>
    <cellStyle name="Standard 2" xfId="3" xr:uid="{00000000-0005-0000-0000-000003000000}"/>
    <cellStyle name="Standard 3" xfId="4" xr:uid="{00000000-0005-0000-0000-000004000000}"/>
    <cellStyle name="Standard 4" xfId="5" xr:uid="{00000000-0005-0000-0000-000005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Kumulative Renditen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'Kumulative Renditen'!$B$2:$B$67</c:f>
              <c:numCache>
                <c:formatCode>0.00%</c:formatCode>
                <c:ptCount val="66"/>
                <c:pt idx="0">
                  <c:v>1.9999999999997797E-4</c:v>
                </c:pt>
                <c:pt idx="1">
                  <c:v>-1.300299999999921E-3</c:v>
                </c:pt>
                <c:pt idx="2">
                  <c:v>-2.1991297299999157E-3</c:v>
                </c:pt>
                <c:pt idx="3">
                  <c:v>-4.0308816351386501E-4</c:v>
                </c:pt>
                <c:pt idx="4">
                  <c:v>-1.8025238400849464E-3</c:v>
                </c:pt>
                <c:pt idx="5">
                  <c:v>-6.993150716116503E-3</c:v>
                </c:pt>
                <c:pt idx="6">
                  <c:v>-7.4896541407584172E-3</c:v>
                </c:pt>
                <c:pt idx="7">
                  <c:v>-8.0851603482740009E-3</c:v>
                </c:pt>
                <c:pt idx="8">
                  <c:v>-8.9778837039605763E-3</c:v>
                </c:pt>
                <c:pt idx="9">
                  <c:v>-9.6715991853678629E-3</c:v>
                </c:pt>
                <c:pt idx="10">
                  <c:v>-1.0067730545693654E-2</c:v>
                </c:pt>
                <c:pt idx="11">
                  <c:v>-1.3631486715729224E-2</c:v>
                </c:pt>
                <c:pt idx="12">
                  <c:v>-1.4815128931670363E-2</c:v>
                </c:pt>
                <c:pt idx="13">
                  <c:v>-1.6391424725379689E-2</c:v>
                </c:pt>
                <c:pt idx="14">
                  <c:v>-1.2161907851698905E-2</c:v>
                </c:pt>
                <c:pt idx="15">
                  <c:v>-1.2557043088558206E-2</c:v>
                </c:pt>
                <c:pt idx="16">
                  <c:v>-1.5519371959292538E-2</c:v>
                </c:pt>
                <c:pt idx="17">
                  <c:v>-1.7783677403786169E-2</c:v>
                </c:pt>
                <c:pt idx="18">
                  <c:v>-2.6427181042632863E-2</c:v>
                </c:pt>
                <c:pt idx="19">
                  <c:v>-2.7498111143485993E-2</c:v>
                </c:pt>
                <c:pt idx="20">
                  <c:v>-2.7498111143485993E-2</c:v>
                </c:pt>
                <c:pt idx="21">
                  <c:v>-2.8470613032342551E-2</c:v>
                </c:pt>
                <c:pt idx="22">
                  <c:v>-3.1773812948032498E-2</c:v>
                </c:pt>
                <c:pt idx="23">
                  <c:v>-3.7195879595523618E-2</c:v>
                </c:pt>
                <c:pt idx="24">
                  <c:v>-3.6233075475119225E-2</c:v>
                </c:pt>
                <c:pt idx="25">
                  <c:v>-3.5172931858141743E-2</c:v>
                </c:pt>
                <c:pt idx="26">
                  <c:v>-3.6427207046726084E-2</c:v>
                </c:pt>
                <c:pt idx="27">
                  <c:v>-4.2401358363036379E-2</c:v>
                </c:pt>
                <c:pt idx="28">
                  <c:v>-4.3454716868837062E-2</c:v>
                </c:pt>
                <c:pt idx="29">
                  <c:v>-4.3837334982089526E-2</c:v>
                </c:pt>
                <c:pt idx="30">
                  <c:v>-5.0626089903716642E-2</c:v>
                </c:pt>
                <c:pt idx="31">
                  <c:v>-5.167040120482258E-2</c:v>
                </c:pt>
                <c:pt idx="32">
                  <c:v>-5.4041225201810428E-2</c:v>
                </c:pt>
                <c:pt idx="33">
                  <c:v>-5.6311526261326073E-2</c:v>
                </c:pt>
                <c:pt idx="34">
                  <c:v>-5.5650944329709073E-2</c:v>
                </c:pt>
                <c:pt idx="35">
                  <c:v>-6.0750429230328584E-2</c:v>
                </c:pt>
                <c:pt idx="36">
                  <c:v>-6.239203555115691E-2</c:v>
                </c:pt>
                <c:pt idx="37">
                  <c:v>-6.4890294516872005E-2</c:v>
                </c:pt>
                <c:pt idx="38">
                  <c:v>-6.8425178082617832E-2</c:v>
                </c:pt>
                <c:pt idx="39">
                  <c:v>-6.8323550262484933E-2</c:v>
                </c:pt>
                <c:pt idx="40">
                  <c:v>-6.8548156662017967E-2</c:v>
                </c:pt>
                <c:pt idx="41">
                  <c:v>-7.4816848622715537E-2</c:v>
                </c:pt>
                <c:pt idx="42">
                  <c:v>-7.3565507697768928E-2</c:v>
                </c:pt>
                <c:pt idx="43">
                  <c:v>-7.3755120572821409E-2</c:v>
                </c:pt>
                <c:pt idx="44">
                  <c:v>-7.3899379381740293E-2</c:v>
                </c:pt>
                <c:pt idx="45">
                  <c:v>-7.3635031530283612E-2</c:v>
                </c:pt>
                <c:pt idx="46">
                  <c:v>-7.4969902024736634E-2</c:v>
                </c:pt>
                <c:pt idx="47">
                  <c:v>-7.8633998967702845E-2</c:v>
                </c:pt>
                <c:pt idx="48">
                  <c:v>-7.9701808495159621E-2</c:v>
                </c:pt>
                <c:pt idx="49">
                  <c:v>-8.1084915238507138E-2</c:v>
                </c:pt>
                <c:pt idx="50">
                  <c:v>-8.1466526732449362E-2</c:v>
                </c:pt>
                <c:pt idx="51">
                  <c:v>-8.0937600085217776E-2</c:v>
                </c:pt>
                <c:pt idx="52">
                  <c:v>-8.3375520767328126E-2</c:v>
                </c:pt>
                <c:pt idx="53">
                  <c:v>-8.3347070218980801E-2</c:v>
                </c:pt>
                <c:pt idx="54">
                  <c:v>-8.2829532890505431E-2</c:v>
                </c:pt>
                <c:pt idx="55">
                  <c:v>-8.2400000805850748E-2</c:v>
                </c:pt>
                <c:pt idx="56">
                  <c:v>-8.3207422512283302E-2</c:v>
                </c:pt>
                <c:pt idx="57">
                  <c:v>-8.4177843022858134E-2</c:v>
                </c:pt>
                <c:pt idx="58">
                  <c:v>-8.4853963019803968E-2</c:v>
                </c:pt>
                <c:pt idx="59">
                  <c:v>-8.7814583329165363E-2</c:v>
                </c:pt>
                <c:pt idx="60">
                  <c:v>-8.729956833463437E-2</c:v>
                </c:pt>
                <c:pt idx="61">
                  <c:v>-8.6872129670681364E-2</c:v>
                </c:pt>
                <c:pt idx="62">
                  <c:v>-8.7675616226805975E-2</c:v>
                </c:pt>
                <c:pt idx="63">
                  <c:v>-8.8641307175937767E-2</c:v>
                </c:pt>
                <c:pt idx="64">
                  <c:v>-8.9314131950829267E-2</c:v>
                </c:pt>
                <c:pt idx="65">
                  <c:v>-9.2260323014816903E-2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BC-42B9-8BB6-61B4B688A30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'Kumulative Renditen'!$C$2:$C$67</c:f>
              <c:numCache>
                <c:formatCode>0.00%</c:formatCode>
                <c:ptCount val="66"/>
                <c:pt idx="0">
                  <c:v>6.0000000000000053E-3</c:v>
                </c:pt>
                <c:pt idx="1">
                  <c:v>5.8994000000001101E-3</c:v>
                </c:pt>
                <c:pt idx="2">
                  <c:v>1.9579631840000111E-2</c:v>
                </c:pt>
                <c:pt idx="3">
                  <c:v>1.5909145165376115E-2</c:v>
                </c:pt>
                <c:pt idx="4">
                  <c:v>3.0944600513823639E-2</c:v>
                </c:pt>
                <c:pt idx="5">
                  <c:v>3.5274567835981596E-2</c:v>
                </c:pt>
                <c:pt idx="6">
                  <c:v>5.090721381030483E-2</c:v>
                </c:pt>
                <c:pt idx="7">
                  <c:v>7.5708624056228135E-2</c:v>
                </c:pt>
                <c:pt idx="8">
                  <c:v>5.516258933675422E-2</c:v>
                </c:pt>
                <c:pt idx="9">
                  <c:v>3.7963439130565213E-2</c:v>
                </c:pt>
                <c:pt idx="10">
                  <c:v>4.6267146643609758E-2</c:v>
                </c:pt>
                <c:pt idx="11">
                  <c:v>3.4235074457208192E-2</c:v>
                </c:pt>
                <c:pt idx="12">
                  <c:v>5.7091669602712392E-2</c:v>
                </c:pt>
                <c:pt idx="13">
                  <c:v>6.6182657961295632E-2</c:v>
                </c:pt>
                <c:pt idx="14">
                  <c:v>1.3833089455395964E-2</c:v>
                </c:pt>
                <c:pt idx="15">
                  <c:v>3.1676551829810995E-2</c:v>
                </c:pt>
                <c:pt idx="16">
                  <c:v>3.1367048864262115E-2</c:v>
                </c:pt>
                <c:pt idx="17">
                  <c:v>3.1779595683807838E-2</c:v>
                </c:pt>
                <c:pt idx="18">
                  <c:v>4.2200569600214344E-2</c:v>
                </c:pt>
                <c:pt idx="19">
                  <c:v>3.1674343847252207E-2</c:v>
                </c:pt>
                <c:pt idx="20">
                  <c:v>4.0856245507492561E-2</c:v>
                </c:pt>
                <c:pt idx="21">
                  <c:v>4.2001187377550986E-2</c:v>
                </c:pt>
                <c:pt idx="22">
                  <c:v>4.2209587615026578E-2</c:v>
                </c:pt>
                <c:pt idx="23">
                  <c:v>4.62742050067253E-2</c:v>
                </c:pt>
                <c:pt idx="24">
                  <c:v>4.1670598504695677E-2</c:v>
                </c:pt>
                <c:pt idx="25">
                  <c:v>2.4691367749069215E-2</c:v>
                </c:pt>
                <c:pt idx="26">
                  <c:v>2.9814824587814481E-2</c:v>
                </c:pt>
                <c:pt idx="27">
                  <c:v>2.7961157903556355E-2</c:v>
                </c:pt>
                <c:pt idx="28">
                  <c:v>2.4671682198265099E-2</c:v>
                </c:pt>
                <c:pt idx="29">
                  <c:v>2.9282704768157197E-2</c:v>
                </c:pt>
                <c:pt idx="30">
                  <c:v>4.2354595118712757E-2</c:v>
                </c:pt>
                <c:pt idx="31">
                  <c:v>3.9123295873844777E-2</c:v>
                </c:pt>
                <c:pt idx="32">
                  <c:v>2.3224709446975078E-2</c:v>
                </c:pt>
                <c:pt idx="33">
                  <c:v>1.565284659706756E-2</c:v>
                </c:pt>
                <c:pt idx="34">
                  <c:v>3.1700161573301244E-2</c:v>
                </c:pt>
                <c:pt idx="35">
                  <c:v>2.2724370167613417E-2</c:v>
                </c:pt>
                <c:pt idx="36">
                  <c:v>7.1789597410656381E-3</c:v>
                </c:pt>
                <c:pt idx="37">
                  <c:v>-1.0748825742325385E-2</c:v>
                </c:pt>
                <c:pt idx="38">
                  <c:v>-4.1514537261739037E-2</c:v>
                </c:pt>
                <c:pt idx="39">
                  <c:v>-6.3080460173349895E-2</c:v>
                </c:pt>
                <c:pt idx="40">
                  <c:v>-6.8608285458327201E-2</c:v>
                </c:pt>
                <c:pt idx="41">
                  <c:v>-8.7049841406252382E-2</c:v>
                </c:pt>
                <c:pt idx="42">
                  <c:v>-5.3361980554143207E-2</c:v>
                </c:pt>
                <c:pt idx="43">
                  <c:v>-8.2423767751130916E-2</c:v>
                </c:pt>
                <c:pt idx="44">
                  <c:v>-0.10233517199093145</c:v>
                </c:pt>
                <c:pt idx="45">
                  <c:v>-9.618616791906931E-2</c:v>
                </c:pt>
                <c:pt idx="46">
                  <c:v>-8.290010458747965E-2</c:v>
                </c:pt>
                <c:pt idx="47">
                  <c:v>-0.11041310144985528</c:v>
                </c:pt>
                <c:pt idx="48">
                  <c:v>-8.8173428986101698E-2</c:v>
                </c:pt>
                <c:pt idx="49">
                  <c:v>-0.10248910615101992</c:v>
                </c:pt>
                <c:pt idx="50">
                  <c:v>-9.5668023357767584E-2</c:v>
                </c:pt>
                <c:pt idx="51">
                  <c:v>-8.78907683586444E-2</c:v>
                </c:pt>
                <c:pt idx="52">
                  <c:v>-7.4300340807188281E-2</c:v>
                </c:pt>
                <c:pt idx="53">
                  <c:v>-7.3707893025304894E-2</c:v>
                </c:pt>
                <c:pt idx="54">
                  <c:v>-7.259634249693514E-2</c:v>
                </c:pt>
                <c:pt idx="55">
                  <c:v>-6.6289997625914365E-2</c:v>
                </c:pt>
                <c:pt idx="56">
                  <c:v>-7.4954826447945821E-2</c:v>
                </c:pt>
                <c:pt idx="57">
                  <c:v>-7.0144591545475032E-2</c:v>
                </c:pt>
                <c:pt idx="58">
                  <c:v>-5.1733454458075423E-2</c:v>
                </c:pt>
                <c:pt idx="59">
                  <c:v>-3.8552549475042608E-2</c:v>
                </c:pt>
                <c:pt idx="60">
                  <c:v>-3.7398812534412573E-2</c:v>
                </c:pt>
                <c:pt idx="61">
                  <c:v>-3.0853124459646608E-2</c:v>
                </c:pt>
                <c:pt idx="62">
                  <c:v>-3.9846807464661071E-2</c:v>
                </c:pt>
                <c:pt idx="63">
                  <c:v>-3.4854010863477169E-2</c:v>
                </c:pt>
                <c:pt idx="64">
                  <c:v>-1.574412027857397E-2</c:v>
                </c:pt>
                <c:pt idx="65">
                  <c:v>-2.0629635504461064E-3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BC-42B9-8BB6-61B4B688A30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'Kumulative Renditen'!$D$2:$D$67</c:f>
              <c:numCache>
                <c:formatCode>0.00%</c:formatCode>
                <c:ptCount val="66"/>
                <c:pt idx="0">
                  <c:v>4.4948757832302011E-2</c:v>
                </c:pt>
                <c:pt idx="1">
                  <c:v>5.1842567870516776E-2</c:v>
                </c:pt>
                <c:pt idx="2">
                  <c:v>5.8656726983668861E-2</c:v>
                </c:pt>
                <c:pt idx="3">
                  <c:v>5.987786457737676E-2</c:v>
                </c:pt>
                <c:pt idx="4">
                  <c:v>5.7212760329508061E-2</c:v>
                </c:pt>
                <c:pt idx="5">
                  <c:v>8.912975813293067E-2</c:v>
                </c:pt>
                <c:pt idx="6">
                  <c:v>0.10078855640259365</c:v>
                </c:pt>
                <c:pt idx="7">
                  <c:v>0.10547178093634302</c:v>
                </c:pt>
                <c:pt idx="8">
                  <c:v>9.6715050123626245E-2</c:v>
                </c:pt>
                <c:pt idx="9">
                  <c:v>9.674886562508811E-2</c:v>
                </c:pt>
                <c:pt idx="10">
                  <c:v>9.0291911559937654E-2</c:v>
                </c:pt>
                <c:pt idx="11">
                  <c:v>0.10967048452755201</c:v>
                </c:pt>
                <c:pt idx="12">
                  <c:v>0.12344825648045488</c:v>
                </c:pt>
                <c:pt idx="13">
                  <c:v>0.11171815261702811</c:v>
                </c:pt>
                <c:pt idx="14">
                  <c:v>-3.7878002074885009E-2</c:v>
                </c:pt>
                <c:pt idx="15">
                  <c:v>-1.5237567303014066E-2</c:v>
                </c:pt>
                <c:pt idx="16">
                  <c:v>3.9844063833823995E-2</c:v>
                </c:pt>
                <c:pt idx="17">
                  <c:v>7.1673118915281497E-2</c:v>
                </c:pt>
                <c:pt idx="18">
                  <c:v>0.10800691757720449</c:v>
                </c:pt>
                <c:pt idx="19">
                  <c:v>0.1135808455398124</c:v>
                </c:pt>
                <c:pt idx="20">
                  <c:v>9.0624926071571466E-2</c:v>
                </c:pt>
                <c:pt idx="21">
                  <c:v>9.0663585163236471E-2</c:v>
                </c:pt>
                <c:pt idx="22">
                  <c:v>0.13130852111805802</c:v>
                </c:pt>
                <c:pt idx="23">
                  <c:v>0.15332920400354833</c:v>
                </c:pt>
                <c:pt idx="24">
                  <c:v>0.13952788393978999</c:v>
                </c:pt>
                <c:pt idx="25">
                  <c:v>0.11393408766650226</c:v>
                </c:pt>
                <c:pt idx="26">
                  <c:v>0.10033797219148499</c:v>
                </c:pt>
                <c:pt idx="27">
                  <c:v>0.1199174011792814</c:v>
                </c:pt>
                <c:pt idx="28">
                  <c:v>0.13046861095066453</c:v>
                </c:pt>
                <c:pt idx="29">
                  <c:v>0.13482091510282457</c:v>
                </c:pt>
                <c:pt idx="30">
                  <c:v>0.13383972800423871</c:v>
                </c:pt>
                <c:pt idx="31">
                  <c:v>0.14418513686360601</c:v>
                </c:pt>
                <c:pt idx="32">
                  <c:v>0.12068137003855139</c:v>
                </c:pt>
                <c:pt idx="33">
                  <c:v>0.11919340944685586</c:v>
                </c:pt>
                <c:pt idx="34">
                  <c:v>0.10170175340194398</c:v>
                </c:pt>
                <c:pt idx="35">
                  <c:v>0.11366957701476488</c:v>
                </c:pt>
                <c:pt idx="36">
                  <c:v>8.9387782710729002E-2</c:v>
                </c:pt>
                <c:pt idx="37">
                  <c:v>3.2600164036616031E-2</c:v>
                </c:pt>
                <c:pt idx="38">
                  <c:v>3.3059978354808228E-2</c:v>
                </c:pt>
                <c:pt idx="39">
                  <c:v>-1.7314854035732186E-2</c:v>
                </c:pt>
                <c:pt idx="40">
                  <c:v>-1.7113727737717577E-2</c:v>
                </c:pt>
                <c:pt idx="41">
                  <c:v>-7.1177857013033807E-2</c:v>
                </c:pt>
                <c:pt idx="42">
                  <c:v>-5.1694664041408767E-2</c:v>
                </c:pt>
                <c:pt idx="43">
                  <c:v>-6.053061064240417E-2</c:v>
                </c:pt>
                <c:pt idx="44">
                  <c:v>-0.11263074837922316</c:v>
                </c:pt>
                <c:pt idx="45">
                  <c:v>-0.11503749530921814</c:v>
                </c:pt>
                <c:pt idx="46">
                  <c:v>-6.4562953333498818E-2</c:v>
                </c:pt>
                <c:pt idx="47">
                  <c:v>-6.8644308521464303E-2</c:v>
                </c:pt>
                <c:pt idx="48">
                  <c:v>-4.1186239402012159E-2</c:v>
                </c:pt>
                <c:pt idx="49">
                  <c:v>-6.7799786980272114E-2</c:v>
                </c:pt>
                <c:pt idx="50">
                  <c:v>-6.6519477742691735E-2</c:v>
                </c:pt>
                <c:pt idx="51">
                  <c:v>-6.5633236566193909E-2</c:v>
                </c:pt>
                <c:pt idx="52">
                  <c:v>-7.7687550889207868E-2</c:v>
                </c:pt>
                <c:pt idx="53">
                  <c:v>-5.6152775174839187E-2</c:v>
                </c:pt>
                <c:pt idx="54">
                  <c:v>-4.0837701257739445E-2</c:v>
                </c:pt>
                <c:pt idx="55">
                  <c:v>-6.2114001132901886E-2</c:v>
                </c:pt>
                <c:pt idx="56">
                  <c:v>-9.3418156494543436E-2</c:v>
                </c:pt>
                <c:pt idx="57">
                  <c:v>-0.10609815577381621</c:v>
                </c:pt>
                <c:pt idx="58">
                  <c:v>-5.6703465974787481E-2</c:v>
                </c:pt>
                <c:pt idx="59">
                  <c:v>-1.5737145850186263E-2</c:v>
                </c:pt>
                <c:pt idx="60">
                  <c:v>2.3372101118779298E-4</c:v>
                </c:pt>
                <c:pt idx="61">
                  <c:v>-2.1953632079513841E-2</c:v>
                </c:pt>
                <c:pt idx="62">
                  <c:v>-5.4598234397125189E-2</c:v>
                </c:pt>
                <c:pt idx="63">
                  <c:v>-6.7821192470182479E-2</c:v>
                </c:pt>
                <c:pt idx="64">
                  <c:v>-1.6311417283374485E-2</c:v>
                </c:pt>
                <c:pt idx="65">
                  <c:v>2.6409084625527379E-2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BC-42B9-8BB6-61B4B688A30B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'Kumulative Renditen'!$E$2:$E$67</c:f>
              <c:numCache>
                <c:formatCode>0.00%</c:formatCode>
                <c:ptCount val="66"/>
                <c:pt idx="0">
                  <c:v>6.9399999999999906E-2</c:v>
                </c:pt>
                <c:pt idx="1">
                  <c:v>0.11517031999999983</c:v>
                </c:pt>
                <c:pt idx="2">
                  <c:v>0.14304957799999962</c:v>
                </c:pt>
                <c:pt idx="3">
                  <c:v>0.1932294544741997</c:v>
                </c:pt>
                <c:pt idx="4">
                  <c:v>0.17389913731171758</c:v>
                </c:pt>
                <c:pt idx="5">
                  <c:v>0.21827252470210046</c:v>
                </c:pt>
                <c:pt idx="6">
                  <c:v>0.22728774138489616</c:v>
                </c:pt>
                <c:pt idx="7">
                  <c:v>0.22691955506248074</c:v>
                </c:pt>
                <c:pt idx="8">
                  <c:v>0.24434181274436795</c:v>
                </c:pt>
                <c:pt idx="9">
                  <c:v>0.25491871815269507</c:v>
                </c:pt>
                <c:pt idx="10">
                  <c:v>0.28942898290189434</c:v>
                </c:pt>
                <c:pt idx="11">
                  <c:v>0.30580473098474825</c:v>
                </c:pt>
                <c:pt idx="12">
                  <c:v>0.30919982328530859</c:v>
                </c:pt>
                <c:pt idx="13">
                  <c:v>0.21048615660959635</c:v>
                </c:pt>
                <c:pt idx="14">
                  <c:v>0.15214072386101374</c:v>
                </c:pt>
                <c:pt idx="15">
                  <c:v>0.21193682742940045</c:v>
                </c:pt>
                <c:pt idx="16">
                  <c:v>0.24647702701113827</c:v>
                </c:pt>
                <c:pt idx="17">
                  <c:v>0.26592206863251211</c:v>
                </c:pt>
                <c:pt idx="18">
                  <c:v>0.2631370400815205</c:v>
                </c:pt>
                <c:pt idx="19">
                  <c:v>0.28814715347513475</c:v>
                </c:pt>
                <c:pt idx="20">
                  <c:v>0.29497433338855306</c:v>
                </c:pt>
                <c:pt idx="21">
                  <c:v>0.22064280665205005</c:v>
                </c:pt>
                <c:pt idx="22">
                  <c:v>0.32354299525281793</c:v>
                </c:pt>
                <c:pt idx="23">
                  <c:v>0.35663157013413826</c:v>
                </c:pt>
                <c:pt idx="24">
                  <c:v>0.34279392811876996</c:v>
                </c:pt>
                <c:pt idx="25">
                  <c:v>0.33688563483504752</c:v>
                </c:pt>
                <c:pt idx="26">
                  <c:v>0.42645697236899571</c:v>
                </c:pt>
                <c:pt idx="27">
                  <c:v>0.44300387324847623</c:v>
                </c:pt>
                <c:pt idx="28">
                  <c:v>0.49293180726287344</c:v>
                </c:pt>
                <c:pt idx="29">
                  <c:v>0.56190525675841818</c:v>
                </c:pt>
                <c:pt idx="30">
                  <c:v>0.58549002613547008</c:v>
                </c:pt>
                <c:pt idx="31">
                  <c:v>0.62322468875749437</c:v>
                </c:pt>
                <c:pt idx="32">
                  <c:v>0.53135017137382023</c:v>
                </c:pt>
                <c:pt idx="33">
                  <c:v>0.58938834286888819</c:v>
                </c:pt>
                <c:pt idx="34">
                  <c:v>0.58128246232025682</c:v>
                </c:pt>
                <c:pt idx="35">
                  <c:v>0.6739456146122238</c:v>
                </c:pt>
                <c:pt idx="36">
                  <c:v>0.57920029282517205</c:v>
                </c:pt>
                <c:pt idx="37">
                  <c:v>0.54382620626588829</c:v>
                </c:pt>
                <c:pt idx="38">
                  <c:v>0.58118680045752269</c:v>
                </c:pt>
                <c:pt idx="39">
                  <c:v>0.58782778501944422</c:v>
                </c:pt>
                <c:pt idx="40">
                  <c:v>0.51828092803559267</c:v>
                </c:pt>
                <c:pt idx="41">
                  <c:v>0.40790190456740505</c:v>
                </c:pt>
                <c:pt idx="42">
                  <c:v>0.47027195893974105</c:v>
                </c:pt>
                <c:pt idx="43">
                  <c:v>0.42528163699618493</c:v>
                </c:pt>
                <c:pt idx="44">
                  <c:v>0.34004979510381306</c:v>
                </c:pt>
                <c:pt idx="45">
                  <c:v>0.40477420020732735</c:v>
                </c:pt>
                <c:pt idx="46">
                  <c:v>0.44509121975327748</c:v>
                </c:pt>
                <c:pt idx="47">
                  <c:v>0.39783673686734544</c:v>
                </c:pt>
                <c:pt idx="48">
                  <c:v>0.47373927167924235</c:v>
                </c:pt>
                <c:pt idx="49">
                  <c:v>0.45472803507458015</c:v>
                </c:pt>
                <c:pt idx="50">
                  <c:v>0.47945841167084779</c:v>
                </c:pt>
                <c:pt idx="51">
                  <c:v>0.53286686033216535</c:v>
                </c:pt>
                <c:pt idx="52">
                  <c:v>0.50389567667188739</c:v>
                </c:pt>
                <c:pt idx="53">
                  <c:v>0.5114151550552466</c:v>
                </c:pt>
                <c:pt idx="54">
                  <c:v>0.51806538173748962</c:v>
                </c:pt>
                <c:pt idx="55">
                  <c:v>0.49134743101890987</c:v>
                </c:pt>
                <c:pt idx="56">
                  <c:v>0.46122221291232801</c:v>
                </c:pt>
                <c:pt idx="57">
                  <c:v>0.38465416895572213</c:v>
                </c:pt>
                <c:pt idx="58">
                  <c:v>0.44765593364320755</c:v>
                </c:pt>
                <c:pt idx="59">
                  <c:v>0.48167584808382302</c:v>
                </c:pt>
                <c:pt idx="60">
                  <c:v>0.48819522181539177</c:v>
                </c:pt>
                <c:pt idx="61">
                  <c:v>0.46200298591144096</c:v>
                </c:pt>
                <c:pt idx="62">
                  <c:v>0.43247052559602994</c:v>
                </c:pt>
                <c:pt idx="63">
                  <c:v>0.35740907005479805</c:v>
                </c:pt>
                <c:pt idx="64">
                  <c:v>0.41917118274229148</c:v>
                </c:pt>
                <c:pt idx="65">
                  <c:v>0.45252170553673543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BC-42B9-8BB6-61B4B688A30B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'Kumulative Renditen'!$F$2:$F$67</c:f>
              <c:numCache>
                <c:formatCode>0.00%</c:formatCode>
                <c:ptCount val="66"/>
                <c:pt idx="0">
                  <c:v>7.0999999999999952E-2</c:v>
                </c:pt>
                <c:pt idx="1">
                  <c:v>0.10420099999999977</c:v>
                </c:pt>
                <c:pt idx="2">
                  <c:v>0.11954939389999986</c:v>
                </c:pt>
                <c:pt idx="3">
                  <c:v>0.16018903689856989</c:v>
                </c:pt>
                <c:pt idx="4">
                  <c:v>9.0461675780965756E-2</c:v>
                </c:pt>
                <c:pt idx="5">
                  <c:v>0.15174562195985608</c:v>
                </c:pt>
                <c:pt idx="6">
                  <c:v>0.16303272905506261</c:v>
                </c:pt>
                <c:pt idx="7">
                  <c:v>0.13686449265132383</c:v>
                </c:pt>
                <c:pt idx="8">
                  <c:v>0.16119339279406231</c:v>
                </c:pt>
                <c:pt idx="9">
                  <c:v>0.1807014417930024</c:v>
                </c:pt>
                <c:pt idx="10">
                  <c:v>0.21635862533515104</c:v>
                </c:pt>
                <c:pt idx="11">
                  <c:v>0.24080743370438751</c:v>
                </c:pt>
                <c:pt idx="12">
                  <c:v>0.23472747727923604</c:v>
                </c:pt>
                <c:pt idx="13">
                  <c:v>0.13273898765597103</c:v>
                </c:pt>
                <c:pt idx="14">
                  <c:v>-1.610291532202357E-2</c:v>
                </c:pt>
                <c:pt idx="15">
                  <c:v>8.7304668277631725E-2</c:v>
                </c:pt>
                <c:pt idx="16">
                  <c:v>0.13862544862033577</c:v>
                </c:pt>
                <c:pt idx="17">
                  <c:v>0.16481383393860338</c:v>
                </c:pt>
                <c:pt idx="18">
                  <c:v>0.20301972769178955</c:v>
                </c:pt>
                <c:pt idx="19">
                  <c:v>0.27844906461806462</c:v>
                </c:pt>
                <c:pt idx="20">
                  <c:v>0.2385614538019809</c:v>
                </c:pt>
                <c:pt idx="21">
                  <c:v>0.20140461018792144</c:v>
                </c:pt>
                <c:pt idx="22">
                  <c:v>0.34545302294945301</c:v>
                </c:pt>
                <c:pt idx="23">
                  <c:v>0.39106388042743956</c:v>
                </c:pt>
                <c:pt idx="24">
                  <c:v>0.37979626299597724</c:v>
                </c:pt>
                <c:pt idx="25">
                  <c:v>0.41705076209686842</c:v>
                </c:pt>
                <c:pt idx="26">
                  <c:v>0.47628348395251763</c:v>
                </c:pt>
                <c:pt idx="27">
                  <c:v>0.53444905322024705</c:v>
                </c:pt>
                <c:pt idx="28">
                  <c:v>0.54841253960455139</c:v>
                </c:pt>
                <c:pt idx="29">
                  <c:v>0.58294213923773297</c:v>
                </c:pt>
                <c:pt idx="30">
                  <c:v>0.60842750767946052</c:v>
                </c:pt>
                <c:pt idx="31">
                  <c:v>0.65105083663296615</c:v>
                </c:pt>
                <c:pt idx="32">
                  <c:v>0.5896317455102198</c:v>
                </c:pt>
                <c:pt idx="33">
                  <c:v>0.67578978611687379</c:v>
                </c:pt>
                <c:pt idx="34">
                  <c:v>0.64880957056039201</c:v>
                </c:pt>
                <c:pt idx="35">
                  <c:v>0.71146433424168687</c:v>
                </c:pt>
                <c:pt idx="36">
                  <c:v>0.62417965319536073</c:v>
                </c:pt>
                <c:pt idx="37">
                  <c:v>0.57935229476716876</c:v>
                </c:pt>
                <c:pt idx="38">
                  <c:v>0.62736460452809073</c:v>
                </c:pt>
                <c:pt idx="39">
                  <c:v>0.5044985768862198</c:v>
                </c:pt>
                <c:pt idx="40">
                  <c:v>0.50164002959013598</c:v>
                </c:pt>
                <c:pt idx="41">
                  <c:v>0.38376128726731018</c:v>
                </c:pt>
                <c:pt idx="42">
                  <c:v>0.49377030960506119</c:v>
                </c:pt>
                <c:pt idx="43">
                  <c:v>0.43865018518063437</c:v>
                </c:pt>
                <c:pt idx="44">
                  <c:v>0.31535786431065405</c:v>
                </c:pt>
                <c:pt idx="45">
                  <c:v>0.40769598638526205</c:v>
                </c:pt>
                <c:pt idx="46">
                  <c:v>0.48272618245959631</c:v>
                </c:pt>
                <c:pt idx="47">
                  <c:v>0.40221415075204026</c:v>
                </c:pt>
                <c:pt idx="48">
                  <c:v>0.49055364224941878</c:v>
                </c:pt>
                <c:pt idx="49">
                  <c:v>0.46357462132470428</c:v>
                </c:pt>
                <c:pt idx="50">
                  <c:v>0.49577326299384783</c:v>
                </c:pt>
                <c:pt idx="51">
                  <c:v>0.51447042878127092</c:v>
                </c:pt>
                <c:pt idx="52">
                  <c:v>0.5079582059375114</c:v>
                </c:pt>
                <c:pt idx="53">
                  <c:v>0.59029272398169952</c:v>
                </c:pt>
                <c:pt idx="54">
                  <c:v>0.63195839335002013</c:v>
                </c:pt>
                <c:pt idx="55">
                  <c:v>0.59834005044700977</c:v>
                </c:pt>
                <c:pt idx="56">
                  <c:v>0.532488440368593</c:v>
                </c:pt>
                <c:pt idx="57">
                  <c:v>0.48896576866212493</c:v>
                </c:pt>
                <c:pt idx="58">
                  <c:v>0.60525399519463696</c:v>
                </c:pt>
                <c:pt idx="59">
                  <c:v>0.66625364701203327</c:v>
                </c:pt>
                <c:pt idx="60">
                  <c:v>0.70990949256374858</c:v>
                </c:pt>
                <c:pt idx="61">
                  <c:v>0.67468535701693555</c:v>
                </c:pt>
                <c:pt idx="62">
                  <c:v>0.60568832030783781</c:v>
                </c:pt>
                <c:pt idx="63">
                  <c:v>0.56008677201109536</c:v>
                </c:pt>
                <c:pt idx="64">
                  <c:v>0.681929548905162</c:v>
                </c:pt>
                <c:pt idx="65">
                  <c:v>0.74584287176355812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BC-42B9-8BB6-61B4B688A30B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'Kumulative Renditen'!$G$2:$G$67</c:f>
              <c:numCache>
                <c:formatCode>0.00%</c:formatCode>
                <c:ptCount val="66"/>
                <c:pt idx="0">
                  <c:v>9.4400000000000039E-2</c:v>
                </c:pt>
                <c:pt idx="1">
                  <c:v>0.10140415999999997</c:v>
                </c:pt>
                <c:pt idx="2">
                  <c:v>0.11043567411200006</c:v>
                </c:pt>
                <c:pt idx="3">
                  <c:v>0.15996110517739526</c:v>
                </c:pt>
                <c:pt idx="4">
                  <c:v>6.2524372342494194E-2</c:v>
                </c:pt>
                <c:pt idx="5">
                  <c:v>9.3231326703192119E-2</c:v>
                </c:pt>
                <c:pt idx="6">
                  <c:v>9.6073728152620275E-2</c:v>
                </c:pt>
                <c:pt idx="7">
                  <c:v>4.1050826999358803E-2</c:v>
                </c:pt>
                <c:pt idx="8">
                  <c:v>6.9263304411041338E-2</c:v>
                </c:pt>
                <c:pt idx="9">
                  <c:v>0.10369358281307695</c:v>
                </c:pt>
                <c:pt idx="10">
                  <c:v>0.11605495094058349</c:v>
                </c:pt>
                <c:pt idx="11">
                  <c:v>0.16248283689971177</c:v>
                </c:pt>
                <c:pt idx="12">
                  <c:v>0.10005750855819717</c:v>
                </c:pt>
                <c:pt idx="13">
                  <c:v>4.8574817157673644E-2</c:v>
                </c:pt>
                <c:pt idx="14">
                  <c:v>-0.11206684483088192</c:v>
                </c:pt>
                <c:pt idx="15">
                  <c:v>-3.3484760598414987E-2</c:v>
                </c:pt>
                <c:pt idx="16">
                  <c:v>-3.0005305736569232E-2</c:v>
                </c:pt>
                <c:pt idx="17">
                  <c:v>2.722438122497306E-2</c:v>
                </c:pt>
                <c:pt idx="18">
                  <c:v>7.5093037390056683E-2</c:v>
                </c:pt>
                <c:pt idx="19">
                  <c:v>8.8209172446215289E-2</c:v>
                </c:pt>
                <c:pt idx="20">
                  <c:v>9.2562009136000212E-2</c:v>
                </c:pt>
                <c:pt idx="21">
                  <c:v>0.11233738150136174</c:v>
                </c:pt>
                <c:pt idx="22">
                  <c:v>0.20021203463996917</c:v>
                </c:pt>
                <c:pt idx="23">
                  <c:v>0.25758216989575988</c:v>
                </c:pt>
                <c:pt idx="24">
                  <c:v>0.30184906227609054</c:v>
                </c:pt>
                <c:pt idx="25">
                  <c:v>0.3363480624264068</c:v>
                </c:pt>
                <c:pt idx="26">
                  <c:v>0.36775224189342737</c:v>
                </c:pt>
                <c:pt idx="27">
                  <c:v>0.35667344873409057</c:v>
                </c:pt>
                <c:pt idx="28">
                  <c:v>0.36874784242782388</c:v>
                </c:pt>
                <c:pt idx="29">
                  <c:v>0.40789403072125952</c:v>
                </c:pt>
                <c:pt idx="30">
                  <c:v>0.28709672288537558</c:v>
                </c:pt>
                <c:pt idx="31">
                  <c:v>0.33098672113576688</c:v>
                </c:pt>
                <c:pt idx="32">
                  <c:v>0.30170501327077992</c:v>
                </c:pt>
                <c:pt idx="33">
                  <c:v>0.28673540561816591</c:v>
                </c:pt>
                <c:pt idx="34">
                  <c:v>0.24864803761186827</c:v>
                </c:pt>
                <c:pt idx="35">
                  <c:v>0.25339290015479343</c:v>
                </c:pt>
                <c:pt idx="36">
                  <c:v>0.25853181104542799</c:v>
                </c:pt>
                <c:pt idx="37">
                  <c:v>0.19824813729635182</c:v>
                </c:pt>
                <c:pt idx="38">
                  <c:v>0.17799774377604338</c:v>
                </c:pt>
                <c:pt idx="39">
                  <c:v>0.17328575280093927</c:v>
                </c:pt>
                <c:pt idx="40">
                  <c:v>0.16448610965493238</c:v>
                </c:pt>
                <c:pt idx="41">
                  <c:v>8.6581988919017361E-2</c:v>
                </c:pt>
                <c:pt idx="42">
                  <c:v>7.6476776422070625E-2</c:v>
                </c:pt>
                <c:pt idx="43">
                  <c:v>0.10629518312896202</c:v>
                </c:pt>
                <c:pt idx="44">
                  <c:v>-1.5065398460285095E-2</c:v>
                </c:pt>
                <c:pt idx="45">
                  <c:v>-2.905146980214901E-2</c:v>
                </c:pt>
                <c:pt idx="46">
                  <c:v>6.0955458947191676E-2</c:v>
                </c:pt>
                <c:pt idx="47">
                  <c:v>1.6289234125514973E-2</c:v>
                </c:pt>
                <c:pt idx="48">
                  <c:v>9.0783234986915096E-2</c:v>
                </c:pt>
                <c:pt idx="49">
                  <c:v>4.0934441148013034E-2</c:v>
                </c:pt>
                <c:pt idx="50">
                  <c:v>4.5930926465523436E-2</c:v>
                </c:pt>
                <c:pt idx="51">
                  <c:v>6.1855512598334439E-3</c:v>
                </c:pt>
                <c:pt idx="52">
                  <c:v>1.5945551107053868E-2</c:v>
                </c:pt>
                <c:pt idx="53">
                  <c:v>3.1997490814545282E-2</c:v>
                </c:pt>
                <c:pt idx="54">
                  <c:v>6.2647816291737435E-2</c:v>
                </c:pt>
                <c:pt idx="55">
                  <c:v>1.4722399776980089E-2</c:v>
                </c:pt>
                <c:pt idx="56">
                  <c:v>2.1825456575418789E-2</c:v>
                </c:pt>
                <c:pt idx="57">
                  <c:v>-2.2010855511666705E-2</c:v>
                </c:pt>
                <c:pt idx="58">
                  <c:v>6.5464275073925382E-3</c:v>
                </c:pt>
                <c:pt idx="59">
                  <c:v>1.0975231788425077E-2</c:v>
                </c:pt>
                <c:pt idx="60">
                  <c:v>4.1001196172541388E-2</c:v>
                </c:pt>
                <c:pt idx="61">
                  <c:v>-5.9479577748402512E-3</c:v>
                </c:pt>
                <c:pt idx="62">
                  <c:v>1.010406520735696E-3</c:v>
                </c:pt>
                <c:pt idx="63">
                  <c:v>-4.1932939919003931E-2</c:v>
                </c:pt>
                <c:pt idx="64">
                  <c:v>-1.3957381764638899E-2</c:v>
                </c:pt>
                <c:pt idx="65">
                  <c:v>-9.6187942444033725E-3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7BC-42B9-8BB6-61B4B688A30B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'Kumulative Renditen'!$H$2:$H$67</c:f>
              <c:numCache>
                <c:formatCode>0.00%</c:formatCode>
                <c:ptCount val="66"/>
                <c:pt idx="0">
                  <c:v>6.2631383000000262E-3</c:v>
                </c:pt>
                <c:pt idx="1">
                  <c:v>8.2400507103566056E-3</c:v>
                </c:pt>
                <c:pt idx="2">
                  <c:v>-3.0440951093018143E-3</c:v>
                </c:pt>
                <c:pt idx="3">
                  <c:v>1.8833542333088316E-2</c:v>
                </c:pt>
                <c:pt idx="4">
                  <c:v>5.6947130601039397E-3</c:v>
                </c:pt>
                <c:pt idx="5">
                  <c:v>-1.7401837975226098E-3</c:v>
                </c:pt>
                <c:pt idx="6">
                  <c:v>1.3280960084355531E-2</c:v>
                </c:pt>
                <c:pt idx="7">
                  <c:v>1.4014987702151149E-2</c:v>
                </c:pt>
                <c:pt idx="8">
                  <c:v>5.6632635962355016E-2</c:v>
                </c:pt>
                <c:pt idx="9">
                  <c:v>4.5263851743625461E-2</c:v>
                </c:pt>
                <c:pt idx="10">
                  <c:v>5.8537628234056172E-2</c:v>
                </c:pt>
                <c:pt idx="11">
                  <c:v>2.1651899397269858E-2</c:v>
                </c:pt>
                <c:pt idx="12">
                  <c:v>1.7273503624109621E-2</c:v>
                </c:pt>
                <c:pt idx="13">
                  <c:v>1.9545724988561552E-2</c:v>
                </c:pt>
                <c:pt idx="14">
                  <c:v>7.4061559087028384E-2</c:v>
                </c:pt>
                <c:pt idx="15">
                  <c:v>7.0880449208940544E-2</c:v>
                </c:pt>
                <c:pt idx="16">
                  <c:v>6.5960216058091437E-2</c:v>
                </c:pt>
                <c:pt idx="17">
                  <c:v>-3.8264829999455796E-2</c:v>
                </c:pt>
                <c:pt idx="18">
                  <c:v>-7.61060553336389E-2</c:v>
                </c:pt>
                <c:pt idx="19">
                  <c:v>-8.5972739787201546E-2</c:v>
                </c:pt>
                <c:pt idx="20">
                  <c:v>-2.4948226975103349E-3</c:v>
                </c:pt>
                <c:pt idx="21">
                  <c:v>-5.2040097516218298E-3</c:v>
                </c:pt>
                <c:pt idx="22">
                  <c:v>-1.7369133353882793E-2</c:v>
                </c:pt>
                <c:pt idx="23">
                  <c:v>3.8938549342444562E-2</c:v>
                </c:pt>
                <c:pt idx="24">
                  <c:v>4.5124265312072698E-2</c:v>
                </c:pt>
                <c:pt idx="25">
                  <c:v>6.3454574595494195E-2</c:v>
                </c:pt>
                <c:pt idx="26">
                  <c:v>0.24097328157179865</c:v>
                </c:pt>
                <c:pt idx="27">
                  <c:v>0.20227983951463235</c:v>
                </c:pt>
                <c:pt idx="28">
                  <c:v>0.18558102375790053</c:v>
                </c:pt>
                <c:pt idx="29">
                  <c:v>0.34733444323923734</c:v>
                </c:pt>
                <c:pt idx="30">
                  <c:v>0.3208990137675507</c:v>
                </c:pt>
                <c:pt idx="31">
                  <c:v>0.33489321470157862</c:v>
                </c:pt>
                <c:pt idx="32">
                  <c:v>0.5030679134255831</c:v>
                </c:pt>
                <c:pt idx="33">
                  <c:v>0.47179035091136567</c:v>
                </c:pt>
                <c:pt idx="34">
                  <c:v>0.49053943932818589</c:v>
                </c:pt>
                <c:pt idx="35">
                  <c:v>0.59065381307126708</c:v>
                </c:pt>
                <c:pt idx="36">
                  <c:v>0.62488027829002157</c:v>
                </c:pt>
                <c:pt idx="37">
                  <c:v>0.60118436207537296</c:v>
                </c:pt>
                <c:pt idx="38">
                  <c:v>0.71249235167192326</c:v>
                </c:pt>
                <c:pt idx="39">
                  <c:v>0.80649080597506551</c:v>
                </c:pt>
                <c:pt idx="40">
                  <c:v>0.78223651754208934</c:v>
                </c:pt>
                <c:pt idx="41">
                  <c:v>0.7607479159433399</c:v>
                </c:pt>
                <c:pt idx="42">
                  <c:v>0.75104620056088556</c:v>
                </c:pt>
                <c:pt idx="43">
                  <c:v>0.79469519057241689</c:v>
                </c:pt>
                <c:pt idx="44">
                  <c:v>0.72858917345679708</c:v>
                </c:pt>
                <c:pt idx="45">
                  <c:v>0.75725808764413238</c:v>
                </c:pt>
                <c:pt idx="46">
                  <c:v>0.67270834454641881</c:v>
                </c:pt>
                <c:pt idx="47">
                  <c:v>0.60743116050301738</c:v>
                </c:pt>
                <c:pt idx="48">
                  <c:v>0.59614157542733026</c:v>
                </c:pt>
                <c:pt idx="49">
                  <c:v>0.62828286620449503</c:v>
                </c:pt>
                <c:pt idx="50">
                  <c:v>0.6061748225344612</c:v>
                </c:pt>
                <c:pt idx="51">
                  <c:v>0.564706971832033</c:v>
                </c:pt>
                <c:pt idx="52">
                  <c:v>0.60680298980395708</c:v>
                </c:pt>
                <c:pt idx="53">
                  <c:v>0.60051825788625623</c:v>
                </c:pt>
                <c:pt idx="54">
                  <c:v>0.5490690440669781</c:v>
                </c:pt>
                <c:pt idx="55">
                  <c:v>0.57837511529703911</c:v>
                </c:pt>
                <c:pt idx="56">
                  <c:v>0.66411217250325372</c:v>
                </c:pt>
                <c:pt idx="57">
                  <c:v>0.65520431134229429</c:v>
                </c:pt>
                <c:pt idx="58">
                  <c:v>0.58155088274852162</c:v>
                </c:pt>
                <c:pt idx="59">
                  <c:v>0.51719305630813084</c:v>
                </c:pt>
                <c:pt idx="60">
                  <c:v>0.46842235995743131</c:v>
                </c:pt>
                <c:pt idx="61">
                  <c:v>0.49620271645060909</c:v>
                </c:pt>
                <c:pt idx="62">
                  <c:v>0.57747618347956586</c:v>
                </c:pt>
                <c:pt idx="63">
                  <c:v>0.56903207793227062</c:v>
                </c:pt>
                <c:pt idx="64">
                  <c:v>0.49921314904148884</c:v>
                </c:pt>
                <c:pt idx="65">
                  <c:v>0.43820588035628272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7BC-42B9-8BB6-61B4B688A30B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'Kumulative Renditen'!$I$2:$I$67</c:f>
              <c:numCache>
                <c:formatCode>0.00%</c:formatCode>
                <c:ptCount val="66"/>
                <c:pt idx="0">
                  <c:v>3.4000000000000696E-3</c:v>
                </c:pt>
                <c:pt idx="1">
                  <c:v>6.8115600000000498E-3</c:v>
                </c:pt>
                <c:pt idx="2">
                  <c:v>1.0234719304000217E-2</c:v>
                </c:pt>
                <c:pt idx="3">
                  <c:v>1.3669517349633953E-2</c:v>
                </c:pt>
                <c:pt idx="4">
                  <c:v>1.7115993708622712E-2</c:v>
                </c:pt>
                <c:pt idx="5">
                  <c:v>2.0574188087232104E-2</c:v>
                </c:pt>
                <c:pt idx="6">
                  <c:v>2.4044140326728858E-2</c:v>
                </c:pt>
                <c:pt idx="7">
                  <c:v>2.7525890403839792E-2</c:v>
                </c:pt>
                <c:pt idx="8">
                  <c:v>3.1019478431212999E-2</c:v>
                </c:pt>
                <c:pt idx="9">
                  <c:v>3.4524944657879253E-2</c:v>
                </c:pt>
                <c:pt idx="10">
                  <c:v>3.8042329469716085E-2</c:v>
                </c:pt>
                <c:pt idx="11">
                  <c:v>5.4754810974178447E-2</c:v>
                </c:pt>
                <c:pt idx="12">
                  <c:v>5.8235501850393279E-2</c:v>
                </c:pt>
                <c:pt idx="13">
                  <c:v>6.1833502556684738E-2</c:v>
                </c:pt>
                <c:pt idx="14">
                  <c:v>6.5443736465377489E-2</c:v>
                </c:pt>
                <c:pt idx="15">
                  <c:v>6.9066245169359775E-2</c:v>
                </c:pt>
                <c:pt idx="16">
                  <c:v>7.2701070402935608E-2</c:v>
                </c:pt>
                <c:pt idx="17">
                  <c:v>7.6348254042305719E-2</c:v>
                </c:pt>
                <c:pt idx="18">
                  <c:v>8.0007838106049611E-2</c:v>
                </c:pt>
                <c:pt idx="19">
                  <c:v>8.3679864755610289E-2</c:v>
                </c:pt>
                <c:pt idx="20">
                  <c:v>8.7364376295779422E-2</c:v>
                </c:pt>
                <c:pt idx="21">
                  <c:v>9.1061415175185179E-2</c:v>
                </c:pt>
                <c:pt idx="22">
                  <c:v>9.4771023986780945E-2</c:v>
                </c:pt>
                <c:pt idx="23">
                  <c:v>0.13078899067594607</c:v>
                </c:pt>
                <c:pt idx="24">
                  <c:v>0.13418135764797379</c:v>
                </c:pt>
                <c:pt idx="25">
                  <c:v>0.1375839017209175</c:v>
                </c:pt>
                <c:pt idx="26">
                  <c:v>0.14099665342608003</c:v>
                </c:pt>
                <c:pt idx="27">
                  <c:v>0.14441964338635804</c:v>
                </c:pt>
                <c:pt idx="28">
                  <c:v>0.14785290231651693</c:v>
                </c:pt>
                <c:pt idx="29">
                  <c:v>0.15129646102346639</c:v>
                </c:pt>
                <c:pt idx="30">
                  <c:v>0.15475035040653662</c:v>
                </c:pt>
                <c:pt idx="31">
                  <c:v>0.15821460145775612</c:v>
                </c:pt>
                <c:pt idx="32">
                  <c:v>0.16168924526212924</c:v>
                </c:pt>
                <c:pt idx="33">
                  <c:v>0.16517431299791552</c:v>
                </c:pt>
                <c:pt idx="34">
                  <c:v>0.16866983593690921</c:v>
                </c:pt>
                <c:pt idx="35">
                  <c:v>0.1884203561642428</c:v>
                </c:pt>
                <c:pt idx="36">
                  <c:v>0.19198561723273544</c:v>
                </c:pt>
                <c:pt idx="37">
                  <c:v>0.19556157408443342</c:v>
                </c:pt>
                <c:pt idx="38">
                  <c:v>0.19914825880668663</c:v>
                </c:pt>
                <c:pt idx="39">
                  <c:v>0.20274570358310662</c:v>
                </c:pt>
                <c:pt idx="40">
                  <c:v>0.20635394069385571</c:v>
                </c:pt>
                <c:pt idx="41">
                  <c:v>0.2099730025159372</c:v>
                </c:pt>
                <c:pt idx="42">
                  <c:v>0.21360292152348492</c:v>
                </c:pt>
                <c:pt idx="43">
                  <c:v>0.21724373028805521</c:v>
                </c:pt>
                <c:pt idx="44">
                  <c:v>0.22089546147891914</c:v>
                </c:pt>
                <c:pt idx="45">
                  <c:v>0.22455814786335582</c:v>
                </c:pt>
                <c:pt idx="46">
                  <c:v>0.22823182230694572</c:v>
                </c:pt>
                <c:pt idx="47">
                  <c:v>0.22909158458256051</c:v>
                </c:pt>
                <c:pt idx="48">
                  <c:v>0.23265595017784979</c:v>
                </c:pt>
                <c:pt idx="49">
                  <c:v>0.2362306524333655</c:v>
                </c:pt>
                <c:pt idx="50">
                  <c:v>0.23981572132542217</c:v>
                </c:pt>
                <c:pt idx="51">
                  <c:v>0.24341118691726571</c:v>
                </c:pt>
                <c:pt idx="52">
                  <c:v>0.2470170793593256</c:v>
                </c:pt>
                <c:pt idx="53">
                  <c:v>0.2506334288894676</c:v>
                </c:pt>
                <c:pt idx="54">
                  <c:v>0.2542602658332469</c:v>
                </c:pt>
                <c:pt idx="55">
                  <c:v>0.25789762060416321</c:v>
                </c:pt>
                <c:pt idx="56">
                  <c:v>0.25840077965240482</c:v>
                </c:pt>
                <c:pt idx="57">
                  <c:v>0.25890413996426576</c:v>
                </c:pt>
                <c:pt idx="58">
                  <c:v>0.27788841439492695</c:v>
                </c:pt>
                <c:pt idx="59">
                  <c:v>0.28696142213713105</c:v>
                </c:pt>
                <c:pt idx="60">
                  <c:v>0.29069361026132867</c:v>
                </c:pt>
                <c:pt idx="61">
                  <c:v>0.29443662173108631</c:v>
                </c:pt>
                <c:pt idx="62">
                  <c:v>0.29495439637977872</c:v>
                </c:pt>
                <c:pt idx="63">
                  <c:v>0.2954723781383306</c:v>
                </c:pt>
                <c:pt idx="64">
                  <c:v>0.31500810160065651</c:v>
                </c:pt>
                <c:pt idx="65">
                  <c:v>0.32434465912202137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7BC-42B9-8BB6-61B4B688A30B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'Kumulative Renditen'!$J$2:$J$67</c:f>
              <c:numCache>
                <c:formatCode>0.00%</c:formatCode>
                <c:ptCount val="66"/>
                <c:pt idx="0">
                  <c:v>2.0616561052249072E-2</c:v>
                </c:pt>
                <c:pt idx="1">
                  <c:v>4.887430109625801E-2</c:v>
                </c:pt>
                <c:pt idx="2">
                  <c:v>4.7654525958495064E-2</c:v>
                </c:pt>
                <c:pt idx="3">
                  <c:v>4.3329245883875434E-2</c:v>
                </c:pt>
                <c:pt idx="4">
                  <c:v>1.7756170823327366E-2</c:v>
                </c:pt>
                <c:pt idx="5">
                  <c:v>2.1415311294510575E-2</c:v>
                </c:pt>
                <c:pt idx="6">
                  <c:v>2.7960685374023075E-2</c:v>
                </c:pt>
                <c:pt idx="7">
                  <c:v>4.0091890816171372E-2</c:v>
                </c:pt>
                <c:pt idx="8">
                  <c:v>5.7540073757866406E-2</c:v>
                </c:pt>
                <c:pt idx="9">
                  <c:v>6.2270030248420039E-2</c:v>
                </c:pt>
                <c:pt idx="10">
                  <c:v>5.9454518904435316E-2</c:v>
                </c:pt>
                <c:pt idx="11">
                  <c:v>5.7068335817781257E-2</c:v>
                </c:pt>
                <c:pt idx="12">
                  <c:v>6.7379658065163994E-2</c:v>
                </c:pt>
                <c:pt idx="13">
                  <c:v>0.10473433607711558</c:v>
                </c:pt>
                <c:pt idx="14">
                  <c:v>6.1038687501590472E-2</c:v>
                </c:pt>
                <c:pt idx="15">
                  <c:v>3.2410116019791158E-2</c:v>
                </c:pt>
                <c:pt idx="16">
                  <c:v>5.2641334839955478E-2</c:v>
                </c:pt>
                <c:pt idx="17">
                  <c:v>3.7312991159637265E-2</c:v>
                </c:pt>
                <c:pt idx="18">
                  <c:v>2.7152544447705429E-2</c:v>
                </c:pt>
                <c:pt idx="19">
                  <c:v>3.4878493383524445E-2</c:v>
                </c:pt>
                <c:pt idx="20">
                  <c:v>3.5181631316532513E-2</c:v>
                </c:pt>
                <c:pt idx="21">
                  <c:v>2.2703823828319925E-2</c:v>
                </c:pt>
                <c:pt idx="22">
                  <c:v>2.0116465761844227E-2</c:v>
                </c:pt>
                <c:pt idx="23">
                  <c:v>2.4127563705219846E-2</c:v>
                </c:pt>
                <c:pt idx="24">
                  <c:v>2.4127563705219401E-2</c:v>
                </c:pt>
                <c:pt idx="25">
                  <c:v>5.744541136897019E-2</c:v>
                </c:pt>
                <c:pt idx="26">
                  <c:v>5.7311954732662151E-2</c:v>
                </c:pt>
                <c:pt idx="27">
                  <c:v>6.9232364468926999E-2</c:v>
                </c:pt>
                <c:pt idx="28">
                  <c:v>7.8219298319890829E-2</c:v>
                </c:pt>
                <c:pt idx="29">
                  <c:v>0.10819230441689909</c:v>
                </c:pt>
                <c:pt idx="30">
                  <c:v>0.10063351030368772</c:v>
                </c:pt>
                <c:pt idx="31">
                  <c:v>0.10566341392147072</c:v>
                </c:pt>
                <c:pt idx="32">
                  <c:v>0.13610528986184645</c:v>
                </c:pt>
                <c:pt idx="33">
                  <c:v>0.1250784062876158</c:v>
                </c:pt>
                <c:pt idx="34">
                  <c:v>0.11581133098918928</c:v>
                </c:pt>
                <c:pt idx="35">
                  <c:v>0.18463524337140114</c:v>
                </c:pt>
                <c:pt idx="36">
                  <c:v>0.18844443151014567</c:v>
                </c:pt>
                <c:pt idx="37">
                  <c:v>0.1770170371682076</c:v>
                </c:pt>
                <c:pt idx="38">
                  <c:v>0.22547579700677933</c:v>
                </c:pt>
                <c:pt idx="39">
                  <c:v>0.20640703574948738</c:v>
                </c:pt>
                <c:pt idx="40">
                  <c:v>0.20234163872861366</c:v>
                </c:pt>
                <c:pt idx="41">
                  <c:v>0.19706311599726711</c:v>
                </c:pt>
                <c:pt idx="42">
                  <c:v>0.23171809320538794</c:v>
                </c:pt>
                <c:pt idx="43">
                  <c:v>0.21026156402175</c:v>
                </c:pt>
                <c:pt idx="44">
                  <c:v>0.20094254997878247</c:v>
                </c:pt>
                <c:pt idx="45">
                  <c:v>0.17770431163669298</c:v>
                </c:pt>
                <c:pt idx="46">
                  <c:v>0.17272262239846992</c:v>
                </c:pt>
                <c:pt idx="47">
                  <c:v>0.17936023244124533</c:v>
                </c:pt>
                <c:pt idx="48">
                  <c:v>0.13653766240130372</c:v>
                </c:pt>
                <c:pt idx="49">
                  <c:v>0.14317504234972733</c:v>
                </c:pt>
                <c:pt idx="50">
                  <c:v>9.9905866996790049E-2</c:v>
                </c:pt>
                <c:pt idx="51">
                  <c:v>8.4716166973564322E-2</c:v>
                </c:pt>
                <c:pt idx="52">
                  <c:v>9.5910437816731697E-2</c:v>
                </c:pt>
                <c:pt idx="53">
                  <c:v>8.2660880623527389E-2</c:v>
                </c:pt>
                <c:pt idx="54">
                  <c:v>7.9282978675981886E-2</c:v>
                </c:pt>
                <c:pt idx="55">
                  <c:v>8.0362261654657763E-2</c:v>
                </c:pt>
                <c:pt idx="56">
                  <c:v>5.4109458696449675E-2</c:v>
                </c:pt>
                <c:pt idx="57">
                  <c:v>4.3884596947094012E-2</c:v>
                </c:pt>
                <c:pt idx="58">
                  <c:v>0.10035875364193192</c:v>
                </c:pt>
                <c:pt idx="59">
                  <c:v>0.10068886126802457</c:v>
                </c:pt>
                <c:pt idx="60">
                  <c:v>9.7254712020868217E-2</c:v>
                </c:pt>
                <c:pt idx="61">
                  <c:v>9.8351966732888929E-2</c:v>
                </c:pt>
                <c:pt idx="62">
                  <c:v>7.1662013941279801E-2</c:v>
                </c:pt>
                <c:pt idx="63">
                  <c:v>6.1266892406049323E-2</c:v>
                </c:pt>
                <c:pt idx="64">
                  <c:v>0.11868143128521669</c:v>
                </c:pt>
                <c:pt idx="65">
                  <c:v>0.11901703571460232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7BC-42B9-8BB6-61B4B688A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26576"/>
        <c:axId val="84027056"/>
      </c:lineChart>
      <c:catAx>
        <c:axId val="84026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027056"/>
        <c:crosses val="autoZero"/>
        <c:auto val="1"/>
        <c:lblAlgn val="ctr"/>
        <c:lblOffset val="100"/>
        <c:noMultiLvlLbl val="0"/>
      </c:catAx>
      <c:valAx>
        <c:axId val="8402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02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Kumulative Renditen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'Kumulative Renditen'!$B$2:$B$67</c:f>
              <c:numCache>
                <c:formatCode>0.00%</c:formatCode>
                <c:ptCount val="66"/>
                <c:pt idx="0">
                  <c:v>1.9999999999997797E-4</c:v>
                </c:pt>
                <c:pt idx="1">
                  <c:v>-1.300299999999921E-3</c:v>
                </c:pt>
                <c:pt idx="2">
                  <c:v>-2.1991297299999157E-3</c:v>
                </c:pt>
                <c:pt idx="3">
                  <c:v>-4.0308816351386501E-4</c:v>
                </c:pt>
                <c:pt idx="4">
                  <c:v>-1.8025238400849464E-3</c:v>
                </c:pt>
                <c:pt idx="5">
                  <c:v>-6.993150716116503E-3</c:v>
                </c:pt>
                <c:pt idx="6">
                  <c:v>-7.4896541407584172E-3</c:v>
                </c:pt>
                <c:pt idx="7">
                  <c:v>-8.0851603482740009E-3</c:v>
                </c:pt>
                <c:pt idx="8">
                  <c:v>-8.9778837039605763E-3</c:v>
                </c:pt>
                <c:pt idx="9">
                  <c:v>-9.6715991853678629E-3</c:v>
                </c:pt>
                <c:pt idx="10">
                  <c:v>-1.0067730545693654E-2</c:v>
                </c:pt>
                <c:pt idx="11">
                  <c:v>-1.3631486715729224E-2</c:v>
                </c:pt>
                <c:pt idx="12">
                  <c:v>-1.4815128931670363E-2</c:v>
                </c:pt>
                <c:pt idx="13">
                  <c:v>-1.6391424725379689E-2</c:v>
                </c:pt>
                <c:pt idx="14">
                  <c:v>-1.2161907851698905E-2</c:v>
                </c:pt>
                <c:pt idx="15">
                  <c:v>-1.2557043088558206E-2</c:v>
                </c:pt>
                <c:pt idx="16">
                  <c:v>-1.5519371959292538E-2</c:v>
                </c:pt>
                <c:pt idx="17">
                  <c:v>-1.7783677403786169E-2</c:v>
                </c:pt>
                <c:pt idx="18">
                  <c:v>-2.6427181042632863E-2</c:v>
                </c:pt>
                <c:pt idx="19">
                  <c:v>-2.7498111143485993E-2</c:v>
                </c:pt>
                <c:pt idx="20">
                  <c:v>-2.7498111143485993E-2</c:v>
                </c:pt>
                <c:pt idx="21">
                  <c:v>-2.8470613032342551E-2</c:v>
                </c:pt>
                <c:pt idx="22">
                  <c:v>-3.1773812948032498E-2</c:v>
                </c:pt>
                <c:pt idx="23">
                  <c:v>-3.7195879595523618E-2</c:v>
                </c:pt>
                <c:pt idx="24">
                  <c:v>-3.6233075475119225E-2</c:v>
                </c:pt>
                <c:pt idx="25">
                  <c:v>-3.5172931858141743E-2</c:v>
                </c:pt>
                <c:pt idx="26">
                  <c:v>-3.6427207046726084E-2</c:v>
                </c:pt>
                <c:pt idx="27">
                  <c:v>-4.2401358363036379E-2</c:v>
                </c:pt>
                <c:pt idx="28">
                  <c:v>-4.3454716868837062E-2</c:v>
                </c:pt>
                <c:pt idx="29">
                  <c:v>-4.3837334982089526E-2</c:v>
                </c:pt>
                <c:pt idx="30">
                  <c:v>-5.0626089903716642E-2</c:v>
                </c:pt>
                <c:pt idx="31">
                  <c:v>-5.167040120482258E-2</c:v>
                </c:pt>
                <c:pt idx="32">
                  <c:v>-5.4041225201810428E-2</c:v>
                </c:pt>
                <c:pt idx="33">
                  <c:v>-5.6311526261326073E-2</c:v>
                </c:pt>
                <c:pt idx="34">
                  <c:v>-5.5650944329709073E-2</c:v>
                </c:pt>
                <c:pt idx="35">
                  <c:v>-6.0750429230328584E-2</c:v>
                </c:pt>
                <c:pt idx="36">
                  <c:v>-6.239203555115691E-2</c:v>
                </c:pt>
                <c:pt idx="37">
                  <c:v>-6.4890294516872005E-2</c:v>
                </c:pt>
                <c:pt idx="38">
                  <c:v>-6.8425178082617832E-2</c:v>
                </c:pt>
                <c:pt idx="39">
                  <c:v>-6.8323550262484933E-2</c:v>
                </c:pt>
                <c:pt idx="40">
                  <c:v>-6.8548156662017967E-2</c:v>
                </c:pt>
                <c:pt idx="41">
                  <c:v>-7.4816848622715537E-2</c:v>
                </c:pt>
                <c:pt idx="42">
                  <c:v>-7.3565507697768928E-2</c:v>
                </c:pt>
                <c:pt idx="43">
                  <c:v>-7.3755120572821409E-2</c:v>
                </c:pt>
                <c:pt idx="44">
                  <c:v>-7.3899379381740293E-2</c:v>
                </c:pt>
                <c:pt idx="45">
                  <c:v>-7.3635031530283612E-2</c:v>
                </c:pt>
                <c:pt idx="46">
                  <c:v>-7.4969902024736634E-2</c:v>
                </c:pt>
                <c:pt idx="47">
                  <c:v>-7.8633998967702845E-2</c:v>
                </c:pt>
                <c:pt idx="48">
                  <c:v>-7.9701808495159621E-2</c:v>
                </c:pt>
                <c:pt idx="49">
                  <c:v>-8.1084915238507138E-2</c:v>
                </c:pt>
                <c:pt idx="50">
                  <c:v>-8.1466526732449362E-2</c:v>
                </c:pt>
                <c:pt idx="51">
                  <c:v>-8.0937600085217776E-2</c:v>
                </c:pt>
                <c:pt idx="52">
                  <c:v>-8.3375520767328126E-2</c:v>
                </c:pt>
                <c:pt idx="53">
                  <c:v>-8.3347070218980801E-2</c:v>
                </c:pt>
                <c:pt idx="54">
                  <c:v>-8.2829532890505431E-2</c:v>
                </c:pt>
                <c:pt idx="55">
                  <c:v>-8.2400000805850748E-2</c:v>
                </c:pt>
                <c:pt idx="56">
                  <c:v>-8.3207422512283302E-2</c:v>
                </c:pt>
                <c:pt idx="57">
                  <c:v>-8.4177843022858134E-2</c:v>
                </c:pt>
                <c:pt idx="58">
                  <c:v>-8.4853963019803968E-2</c:v>
                </c:pt>
                <c:pt idx="59">
                  <c:v>-8.7814583329165363E-2</c:v>
                </c:pt>
                <c:pt idx="60">
                  <c:v>-8.729956833463437E-2</c:v>
                </c:pt>
                <c:pt idx="61">
                  <c:v>-8.6872129670681364E-2</c:v>
                </c:pt>
                <c:pt idx="62">
                  <c:v>-8.7675616226805975E-2</c:v>
                </c:pt>
                <c:pt idx="63">
                  <c:v>-8.8641307175937767E-2</c:v>
                </c:pt>
                <c:pt idx="64">
                  <c:v>-8.9314131950829267E-2</c:v>
                </c:pt>
                <c:pt idx="65">
                  <c:v>-9.2260323014816903E-2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A7-4751-AA9D-CA91233E0AA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'Kumulative Renditen'!$C$2:$C$67</c:f>
              <c:numCache>
                <c:formatCode>0.00%</c:formatCode>
                <c:ptCount val="66"/>
                <c:pt idx="0">
                  <c:v>6.0000000000000053E-3</c:v>
                </c:pt>
                <c:pt idx="1">
                  <c:v>5.8994000000001101E-3</c:v>
                </c:pt>
                <c:pt idx="2">
                  <c:v>1.9579631840000111E-2</c:v>
                </c:pt>
                <c:pt idx="3">
                  <c:v>1.5909145165376115E-2</c:v>
                </c:pt>
                <c:pt idx="4">
                  <c:v>3.0944600513823639E-2</c:v>
                </c:pt>
                <c:pt idx="5">
                  <c:v>3.5274567835981596E-2</c:v>
                </c:pt>
                <c:pt idx="6">
                  <c:v>5.090721381030483E-2</c:v>
                </c:pt>
                <c:pt idx="7">
                  <c:v>7.5708624056228135E-2</c:v>
                </c:pt>
                <c:pt idx="8">
                  <c:v>5.516258933675422E-2</c:v>
                </c:pt>
                <c:pt idx="9">
                  <c:v>3.7963439130565213E-2</c:v>
                </c:pt>
                <c:pt idx="10">
                  <c:v>4.6267146643609758E-2</c:v>
                </c:pt>
                <c:pt idx="11">
                  <c:v>3.4235074457208192E-2</c:v>
                </c:pt>
                <c:pt idx="12">
                  <c:v>5.7091669602712392E-2</c:v>
                </c:pt>
                <c:pt idx="13">
                  <c:v>6.6182657961295632E-2</c:v>
                </c:pt>
                <c:pt idx="14">
                  <c:v>1.3833089455395964E-2</c:v>
                </c:pt>
                <c:pt idx="15">
                  <c:v>3.1676551829810995E-2</c:v>
                </c:pt>
                <c:pt idx="16">
                  <c:v>3.1367048864262115E-2</c:v>
                </c:pt>
                <c:pt idx="17">
                  <c:v>3.1779595683807838E-2</c:v>
                </c:pt>
                <c:pt idx="18">
                  <c:v>4.2200569600214344E-2</c:v>
                </c:pt>
                <c:pt idx="19">
                  <c:v>3.1674343847252207E-2</c:v>
                </c:pt>
                <c:pt idx="20">
                  <c:v>4.0856245507492561E-2</c:v>
                </c:pt>
                <c:pt idx="21">
                  <c:v>4.2001187377550986E-2</c:v>
                </c:pt>
                <c:pt idx="22">
                  <c:v>4.2209587615026578E-2</c:v>
                </c:pt>
                <c:pt idx="23">
                  <c:v>4.62742050067253E-2</c:v>
                </c:pt>
                <c:pt idx="24">
                  <c:v>4.1670598504695677E-2</c:v>
                </c:pt>
                <c:pt idx="25">
                  <c:v>2.4691367749069215E-2</c:v>
                </c:pt>
                <c:pt idx="26">
                  <c:v>2.9814824587814481E-2</c:v>
                </c:pt>
                <c:pt idx="27">
                  <c:v>2.7961157903556355E-2</c:v>
                </c:pt>
                <c:pt idx="28">
                  <c:v>2.4671682198265099E-2</c:v>
                </c:pt>
                <c:pt idx="29">
                  <c:v>2.9282704768157197E-2</c:v>
                </c:pt>
                <c:pt idx="30">
                  <c:v>4.2354595118712757E-2</c:v>
                </c:pt>
                <c:pt idx="31">
                  <c:v>3.9123295873844777E-2</c:v>
                </c:pt>
                <c:pt idx="32">
                  <c:v>2.3224709446975078E-2</c:v>
                </c:pt>
                <c:pt idx="33">
                  <c:v>1.565284659706756E-2</c:v>
                </c:pt>
                <c:pt idx="34">
                  <c:v>3.1700161573301244E-2</c:v>
                </c:pt>
                <c:pt idx="35">
                  <c:v>2.2724370167613417E-2</c:v>
                </c:pt>
                <c:pt idx="36">
                  <c:v>7.1789597410656381E-3</c:v>
                </c:pt>
                <c:pt idx="37">
                  <c:v>-1.0748825742325385E-2</c:v>
                </c:pt>
                <c:pt idx="38">
                  <c:v>-4.1514537261739037E-2</c:v>
                </c:pt>
                <c:pt idx="39">
                  <c:v>-6.3080460173349895E-2</c:v>
                </c:pt>
                <c:pt idx="40">
                  <c:v>-6.8608285458327201E-2</c:v>
                </c:pt>
                <c:pt idx="41">
                  <c:v>-8.7049841406252382E-2</c:v>
                </c:pt>
                <c:pt idx="42">
                  <c:v>-5.3361980554143207E-2</c:v>
                </c:pt>
                <c:pt idx="43">
                  <c:v>-8.2423767751130916E-2</c:v>
                </c:pt>
                <c:pt idx="44">
                  <c:v>-0.10233517199093145</c:v>
                </c:pt>
                <c:pt idx="45">
                  <c:v>-9.618616791906931E-2</c:v>
                </c:pt>
                <c:pt idx="46">
                  <c:v>-8.290010458747965E-2</c:v>
                </c:pt>
                <c:pt idx="47">
                  <c:v>-0.11041310144985528</c:v>
                </c:pt>
                <c:pt idx="48">
                  <c:v>-8.8173428986101698E-2</c:v>
                </c:pt>
                <c:pt idx="49">
                  <c:v>-0.10248910615101992</c:v>
                </c:pt>
                <c:pt idx="50">
                  <c:v>-9.5668023357767584E-2</c:v>
                </c:pt>
                <c:pt idx="51">
                  <c:v>-8.78907683586444E-2</c:v>
                </c:pt>
                <c:pt idx="52">
                  <c:v>-7.4300340807188281E-2</c:v>
                </c:pt>
                <c:pt idx="53">
                  <c:v>-7.3707893025304894E-2</c:v>
                </c:pt>
                <c:pt idx="54">
                  <c:v>-7.259634249693514E-2</c:v>
                </c:pt>
                <c:pt idx="55">
                  <c:v>-6.6289997625914365E-2</c:v>
                </c:pt>
                <c:pt idx="56">
                  <c:v>-7.4954826447945821E-2</c:v>
                </c:pt>
                <c:pt idx="57">
                  <c:v>-7.0144591545475032E-2</c:v>
                </c:pt>
                <c:pt idx="58">
                  <c:v>-5.1733454458075423E-2</c:v>
                </c:pt>
                <c:pt idx="59">
                  <c:v>-3.8552549475042608E-2</c:v>
                </c:pt>
                <c:pt idx="60">
                  <c:v>-3.7398812534412573E-2</c:v>
                </c:pt>
                <c:pt idx="61">
                  <c:v>-3.0853124459646608E-2</c:v>
                </c:pt>
                <c:pt idx="62">
                  <c:v>-3.9846807464661071E-2</c:v>
                </c:pt>
                <c:pt idx="63">
                  <c:v>-3.4854010863477169E-2</c:v>
                </c:pt>
                <c:pt idx="64">
                  <c:v>-1.574412027857397E-2</c:v>
                </c:pt>
                <c:pt idx="65">
                  <c:v>-2.0629635504461064E-3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A7-4751-AA9D-CA91233E0AA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'Kumulative Renditen'!$D$2:$D$67</c:f>
              <c:numCache>
                <c:formatCode>0.00%</c:formatCode>
                <c:ptCount val="66"/>
                <c:pt idx="0">
                  <c:v>4.4948757832302011E-2</c:v>
                </c:pt>
                <c:pt idx="1">
                  <c:v>5.1842567870516776E-2</c:v>
                </c:pt>
                <c:pt idx="2">
                  <c:v>5.8656726983668861E-2</c:v>
                </c:pt>
                <c:pt idx="3">
                  <c:v>5.987786457737676E-2</c:v>
                </c:pt>
                <c:pt idx="4">
                  <c:v>5.7212760329508061E-2</c:v>
                </c:pt>
                <c:pt idx="5">
                  <c:v>8.912975813293067E-2</c:v>
                </c:pt>
                <c:pt idx="6">
                  <c:v>0.10078855640259365</c:v>
                </c:pt>
                <c:pt idx="7">
                  <c:v>0.10547178093634302</c:v>
                </c:pt>
                <c:pt idx="8">
                  <c:v>9.6715050123626245E-2</c:v>
                </c:pt>
                <c:pt idx="9">
                  <c:v>9.674886562508811E-2</c:v>
                </c:pt>
                <c:pt idx="10">
                  <c:v>9.0291911559937654E-2</c:v>
                </c:pt>
                <c:pt idx="11">
                  <c:v>0.10967048452755201</c:v>
                </c:pt>
                <c:pt idx="12">
                  <c:v>0.12344825648045488</c:v>
                </c:pt>
                <c:pt idx="13">
                  <c:v>0.11171815261702811</c:v>
                </c:pt>
                <c:pt idx="14">
                  <c:v>-3.7878002074885009E-2</c:v>
                </c:pt>
                <c:pt idx="15">
                  <c:v>-1.5237567303014066E-2</c:v>
                </c:pt>
                <c:pt idx="16">
                  <c:v>3.9844063833823995E-2</c:v>
                </c:pt>
                <c:pt idx="17">
                  <c:v>7.1673118915281497E-2</c:v>
                </c:pt>
                <c:pt idx="18">
                  <c:v>0.10800691757720449</c:v>
                </c:pt>
                <c:pt idx="19">
                  <c:v>0.1135808455398124</c:v>
                </c:pt>
                <c:pt idx="20">
                  <c:v>9.0624926071571466E-2</c:v>
                </c:pt>
                <c:pt idx="21">
                  <c:v>9.0663585163236471E-2</c:v>
                </c:pt>
                <c:pt idx="22">
                  <c:v>0.13130852111805802</c:v>
                </c:pt>
                <c:pt idx="23">
                  <c:v>0.15332920400354833</c:v>
                </c:pt>
                <c:pt idx="24">
                  <c:v>0.13952788393978999</c:v>
                </c:pt>
                <c:pt idx="25">
                  <c:v>0.11393408766650226</c:v>
                </c:pt>
                <c:pt idx="26">
                  <c:v>0.10033797219148499</c:v>
                </c:pt>
                <c:pt idx="27">
                  <c:v>0.1199174011792814</c:v>
                </c:pt>
                <c:pt idx="28">
                  <c:v>0.13046861095066453</c:v>
                </c:pt>
                <c:pt idx="29">
                  <c:v>0.13482091510282457</c:v>
                </c:pt>
                <c:pt idx="30">
                  <c:v>0.13383972800423871</c:v>
                </c:pt>
                <c:pt idx="31">
                  <c:v>0.14418513686360601</c:v>
                </c:pt>
                <c:pt idx="32">
                  <c:v>0.12068137003855139</c:v>
                </c:pt>
                <c:pt idx="33">
                  <c:v>0.11919340944685586</c:v>
                </c:pt>
                <c:pt idx="34">
                  <c:v>0.10170175340194398</c:v>
                </c:pt>
                <c:pt idx="35">
                  <c:v>0.11366957701476488</c:v>
                </c:pt>
                <c:pt idx="36">
                  <c:v>8.9387782710729002E-2</c:v>
                </c:pt>
                <c:pt idx="37">
                  <c:v>3.2600164036616031E-2</c:v>
                </c:pt>
                <c:pt idx="38">
                  <c:v>3.3059978354808228E-2</c:v>
                </c:pt>
                <c:pt idx="39">
                  <c:v>-1.7314854035732186E-2</c:v>
                </c:pt>
                <c:pt idx="40">
                  <c:v>-1.7113727737717577E-2</c:v>
                </c:pt>
                <c:pt idx="41">
                  <c:v>-7.1177857013033807E-2</c:v>
                </c:pt>
                <c:pt idx="42">
                  <c:v>-5.1694664041408767E-2</c:v>
                </c:pt>
                <c:pt idx="43">
                  <c:v>-6.053061064240417E-2</c:v>
                </c:pt>
                <c:pt idx="44">
                  <c:v>-0.11263074837922316</c:v>
                </c:pt>
                <c:pt idx="45">
                  <c:v>-0.11503749530921814</c:v>
                </c:pt>
                <c:pt idx="46">
                  <c:v>-6.4562953333498818E-2</c:v>
                </c:pt>
                <c:pt idx="47">
                  <c:v>-6.8644308521464303E-2</c:v>
                </c:pt>
                <c:pt idx="48">
                  <c:v>-4.1186239402012159E-2</c:v>
                </c:pt>
                <c:pt idx="49">
                  <c:v>-6.7799786980272114E-2</c:v>
                </c:pt>
                <c:pt idx="50">
                  <c:v>-6.6519477742691735E-2</c:v>
                </c:pt>
                <c:pt idx="51">
                  <c:v>-6.5633236566193909E-2</c:v>
                </c:pt>
                <c:pt idx="52">
                  <c:v>-7.7687550889207868E-2</c:v>
                </c:pt>
                <c:pt idx="53">
                  <c:v>-5.6152775174839187E-2</c:v>
                </c:pt>
                <c:pt idx="54">
                  <c:v>-4.0837701257739445E-2</c:v>
                </c:pt>
                <c:pt idx="55">
                  <c:v>-6.2114001132901886E-2</c:v>
                </c:pt>
                <c:pt idx="56">
                  <c:v>-9.3418156494543436E-2</c:v>
                </c:pt>
                <c:pt idx="57">
                  <c:v>-0.10609815577381621</c:v>
                </c:pt>
                <c:pt idx="58">
                  <c:v>-5.6703465974787481E-2</c:v>
                </c:pt>
                <c:pt idx="59">
                  <c:v>-1.5737145850186263E-2</c:v>
                </c:pt>
                <c:pt idx="60">
                  <c:v>2.3372101118779298E-4</c:v>
                </c:pt>
                <c:pt idx="61">
                  <c:v>-2.1953632079513841E-2</c:v>
                </c:pt>
                <c:pt idx="62">
                  <c:v>-5.4598234397125189E-2</c:v>
                </c:pt>
                <c:pt idx="63">
                  <c:v>-6.7821192470182479E-2</c:v>
                </c:pt>
                <c:pt idx="64">
                  <c:v>-1.6311417283374485E-2</c:v>
                </c:pt>
                <c:pt idx="65">
                  <c:v>2.6409084625527379E-2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A7-4751-AA9D-CA91233E0AA4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'Kumulative Renditen'!$E$2:$E$67</c:f>
              <c:numCache>
                <c:formatCode>0.00%</c:formatCode>
                <c:ptCount val="66"/>
                <c:pt idx="0">
                  <c:v>6.9399999999999906E-2</c:v>
                </c:pt>
                <c:pt idx="1">
                  <c:v>0.11517031999999983</c:v>
                </c:pt>
                <c:pt idx="2">
                  <c:v>0.14304957799999962</c:v>
                </c:pt>
                <c:pt idx="3">
                  <c:v>0.1932294544741997</c:v>
                </c:pt>
                <c:pt idx="4">
                  <c:v>0.17389913731171758</c:v>
                </c:pt>
                <c:pt idx="5">
                  <c:v>0.21827252470210046</c:v>
                </c:pt>
                <c:pt idx="6">
                  <c:v>0.22728774138489616</c:v>
                </c:pt>
                <c:pt idx="7">
                  <c:v>0.22691955506248074</c:v>
                </c:pt>
                <c:pt idx="8">
                  <c:v>0.24434181274436795</c:v>
                </c:pt>
                <c:pt idx="9">
                  <c:v>0.25491871815269507</c:v>
                </c:pt>
                <c:pt idx="10">
                  <c:v>0.28942898290189434</c:v>
                </c:pt>
                <c:pt idx="11">
                  <c:v>0.30580473098474825</c:v>
                </c:pt>
                <c:pt idx="12">
                  <c:v>0.30919982328530859</c:v>
                </c:pt>
                <c:pt idx="13">
                  <c:v>0.21048615660959635</c:v>
                </c:pt>
                <c:pt idx="14">
                  <c:v>0.15214072386101374</c:v>
                </c:pt>
                <c:pt idx="15">
                  <c:v>0.21193682742940045</c:v>
                </c:pt>
                <c:pt idx="16">
                  <c:v>0.24647702701113827</c:v>
                </c:pt>
                <c:pt idx="17">
                  <c:v>0.26592206863251211</c:v>
                </c:pt>
                <c:pt idx="18">
                  <c:v>0.2631370400815205</c:v>
                </c:pt>
                <c:pt idx="19">
                  <c:v>0.28814715347513475</c:v>
                </c:pt>
                <c:pt idx="20">
                  <c:v>0.29497433338855306</c:v>
                </c:pt>
                <c:pt idx="21">
                  <c:v>0.22064280665205005</c:v>
                </c:pt>
                <c:pt idx="22">
                  <c:v>0.32354299525281793</c:v>
                </c:pt>
                <c:pt idx="23">
                  <c:v>0.35663157013413826</c:v>
                </c:pt>
                <c:pt idx="24">
                  <c:v>0.34279392811876996</c:v>
                </c:pt>
                <c:pt idx="25">
                  <c:v>0.33688563483504752</c:v>
                </c:pt>
                <c:pt idx="26">
                  <c:v>0.42645697236899571</c:v>
                </c:pt>
                <c:pt idx="27">
                  <c:v>0.44300387324847623</c:v>
                </c:pt>
                <c:pt idx="28">
                  <c:v>0.49293180726287344</c:v>
                </c:pt>
                <c:pt idx="29">
                  <c:v>0.56190525675841818</c:v>
                </c:pt>
                <c:pt idx="30">
                  <c:v>0.58549002613547008</c:v>
                </c:pt>
                <c:pt idx="31">
                  <c:v>0.62322468875749437</c:v>
                </c:pt>
                <c:pt idx="32">
                  <c:v>0.53135017137382023</c:v>
                </c:pt>
                <c:pt idx="33">
                  <c:v>0.58938834286888819</c:v>
                </c:pt>
                <c:pt idx="34">
                  <c:v>0.58128246232025682</c:v>
                </c:pt>
                <c:pt idx="35">
                  <c:v>0.6739456146122238</c:v>
                </c:pt>
                <c:pt idx="36">
                  <c:v>0.57920029282517205</c:v>
                </c:pt>
                <c:pt idx="37">
                  <c:v>0.54382620626588829</c:v>
                </c:pt>
                <c:pt idx="38">
                  <c:v>0.58118680045752269</c:v>
                </c:pt>
                <c:pt idx="39">
                  <c:v>0.58782778501944422</c:v>
                </c:pt>
                <c:pt idx="40">
                  <c:v>0.51828092803559267</c:v>
                </c:pt>
                <c:pt idx="41">
                  <c:v>0.40790190456740505</c:v>
                </c:pt>
                <c:pt idx="42">
                  <c:v>0.47027195893974105</c:v>
                </c:pt>
                <c:pt idx="43">
                  <c:v>0.42528163699618493</c:v>
                </c:pt>
                <c:pt idx="44">
                  <c:v>0.34004979510381306</c:v>
                </c:pt>
                <c:pt idx="45">
                  <c:v>0.40477420020732735</c:v>
                </c:pt>
                <c:pt idx="46">
                  <c:v>0.44509121975327748</c:v>
                </c:pt>
                <c:pt idx="47">
                  <c:v>0.39783673686734544</c:v>
                </c:pt>
                <c:pt idx="48">
                  <c:v>0.47373927167924235</c:v>
                </c:pt>
                <c:pt idx="49">
                  <c:v>0.45472803507458015</c:v>
                </c:pt>
                <c:pt idx="50">
                  <c:v>0.47945841167084779</c:v>
                </c:pt>
                <c:pt idx="51">
                  <c:v>0.53286686033216535</c:v>
                </c:pt>
                <c:pt idx="52">
                  <c:v>0.50389567667188739</c:v>
                </c:pt>
                <c:pt idx="53">
                  <c:v>0.5114151550552466</c:v>
                </c:pt>
                <c:pt idx="54">
                  <c:v>0.51806538173748962</c:v>
                </c:pt>
                <c:pt idx="55">
                  <c:v>0.49134743101890987</c:v>
                </c:pt>
                <c:pt idx="56">
                  <c:v>0.46122221291232801</c:v>
                </c:pt>
                <c:pt idx="57">
                  <c:v>0.38465416895572213</c:v>
                </c:pt>
                <c:pt idx="58">
                  <c:v>0.44765593364320755</c:v>
                </c:pt>
                <c:pt idx="59">
                  <c:v>0.48167584808382302</c:v>
                </c:pt>
                <c:pt idx="60">
                  <c:v>0.48819522181539177</c:v>
                </c:pt>
                <c:pt idx="61">
                  <c:v>0.46200298591144096</c:v>
                </c:pt>
                <c:pt idx="62">
                  <c:v>0.43247052559602994</c:v>
                </c:pt>
                <c:pt idx="63">
                  <c:v>0.35740907005479805</c:v>
                </c:pt>
                <c:pt idx="64">
                  <c:v>0.41917118274229148</c:v>
                </c:pt>
                <c:pt idx="65">
                  <c:v>0.45252170553673543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A7-4751-AA9D-CA91233E0AA4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'Kumulative Renditen'!$F$2:$F$67</c:f>
              <c:numCache>
                <c:formatCode>0.00%</c:formatCode>
                <c:ptCount val="66"/>
                <c:pt idx="0">
                  <c:v>7.0999999999999952E-2</c:v>
                </c:pt>
                <c:pt idx="1">
                  <c:v>0.10420099999999977</c:v>
                </c:pt>
                <c:pt idx="2">
                  <c:v>0.11954939389999986</c:v>
                </c:pt>
                <c:pt idx="3">
                  <c:v>0.16018903689856989</c:v>
                </c:pt>
                <c:pt idx="4">
                  <c:v>9.0461675780965756E-2</c:v>
                </c:pt>
                <c:pt idx="5">
                  <c:v>0.15174562195985608</c:v>
                </c:pt>
                <c:pt idx="6">
                  <c:v>0.16303272905506261</c:v>
                </c:pt>
                <c:pt idx="7">
                  <c:v>0.13686449265132383</c:v>
                </c:pt>
                <c:pt idx="8">
                  <c:v>0.16119339279406231</c:v>
                </c:pt>
                <c:pt idx="9">
                  <c:v>0.1807014417930024</c:v>
                </c:pt>
                <c:pt idx="10">
                  <c:v>0.21635862533515104</c:v>
                </c:pt>
                <c:pt idx="11">
                  <c:v>0.24080743370438751</c:v>
                </c:pt>
                <c:pt idx="12">
                  <c:v>0.23472747727923604</c:v>
                </c:pt>
                <c:pt idx="13">
                  <c:v>0.13273898765597103</c:v>
                </c:pt>
                <c:pt idx="14">
                  <c:v>-1.610291532202357E-2</c:v>
                </c:pt>
                <c:pt idx="15">
                  <c:v>8.7304668277631725E-2</c:v>
                </c:pt>
                <c:pt idx="16">
                  <c:v>0.13862544862033577</c:v>
                </c:pt>
                <c:pt idx="17">
                  <c:v>0.16481383393860338</c:v>
                </c:pt>
                <c:pt idx="18">
                  <c:v>0.20301972769178955</c:v>
                </c:pt>
                <c:pt idx="19">
                  <c:v>0.27844906461806462</c:v>
                </c:pt>
                <c:pt idx="20">
                  <c:v>0.2385614538019809</c:v>
                </c:pt>
                <c:pt idx="21">
                  <c:v>0.20140461018792144</c:v>
                </c:pt>
                <c:pt idx="22">
                  <c:v>0.34545302294945301</c:v>
                </c:pt>
                <c:pt idx="23">
                  <c:v>0.39106388042743956</c:v>
                </c:pt>
                <c:pt idx="24">
                  <c:v>0.37979626299597724</c:v>
                </c:pt>
                <c:pt idx="25">
                  <c:v>0.41705076209686842</c:v>
                </c:pt>
                <c:pt idx="26">
                  <c:v>0.47628348395251763</c:v>
                </c:pt>
                <c:pt idx="27">
                  <c:v>0.53444905322024705</c:v>
                </c:pt>
                <c:pt idx="28">
                  <c:v>0.54841253960455139</c:v>
                </c:pt>
                <c:pt idx="29">
                  <c:v>0.58294213923773297</c:v>
                </c:pt>
                <c:pt idx="30">
                  <c:v>0.60842750767946052</c:v>
                </c:pt>
                <c:pt idx="31">
                  <c:v>0.65105083663296615</c:v>
                </c:pt>
                <c:pt idx="32">
                  <c:v>0.5896317455102198</c:v>
                </c:pt>
                <c:pt idx="33">
                  <c:v>0.67578978611687379</c:v>
                </c:pt>
                <c:pt idx="34">
                  <c:v>0.64880957056039201</c:v>
                </c:pt>
                <c:pt idx="35">
                  <c:v>0.71146433424168687</c:v>
                </c:pt>
                <c:pt idx="36">
                  <c:v>0.62417965319536073</c:v>
                </c:pt>
                <c:pt idx="37">
                  <c:v>0.57935229476716876</c:v>
                </c:pt>
                <c:pt idx="38">
                  <c:v>0.62736460452809073</c:v>
                </c:pt>
                <c:pt idx="39">
                  <c:v>0.5044985768862198</c:v>
                </c:pt>
                <c:pt idx="40">
                  <c:v>0.50164002959013598</c:v>
                </c:pt>
                <c:pt idx="41">
                  <c:v>0.38376128726731018</c:v>
                </c:pt>
                <c:pt idx="42">
                  <c:v>0.49377030960506119</c:v>
                </c:pt>
                <c:pt idx="43">
                  <c:v>0.43865018518063437</c:v>
                </c:pt>
                <c:pt idx="44">
                  <c:v>0.31535786431065405</c:v>
                </c:pt>
                <c:pt idx="45">
                  <c:v>0.40769598638526205</c:v>
                </c:pt>
                <c:pt idx="46">
                  <c:v>0.48272618245959631</c:v>
                </c:pt>
                <c:pt idx="47">
                  <c:v>0.40221415075204026</c:v>
                </c:pt>
                <c:pt idx="48">
                  <c:v>0.49055364224941878</c:v>
                </c:pt>
                <c:pt idx="49">
                  <c:v>0.46357462132470428</c:v>
                </c:pt>
                <c:pt idx="50">
                  <c:v>0.49577326299384783</c:v>
                </c:pt>
                <c:pt idx="51">
                  <c:v>0.51447042878127092</c:v>
                </c:pt>
                <c:pt idx="52">
                  <c:v>0.5079582059375114</c:v>
                </c:pt>
                <c:pt idx="53">
                  <c:v>0.59029272398169952</c:v>
                </c:pt>
                <c:pt idx="54">
                  <c:v>0.63195839335002013</c:v>
                </c:pt>
                <c:pt idx="55">
                  <c:v>0.59834005044700977</c:v>
                </c:pt>
                <c:pt idx="56">
                  <c:v>0.532488440368593</c:v>
                </c:pt>
                <c:pt idx="57">
                  <c:v>0.48896576866212493</c:v>
                </c:pt>
                <c:pt idx="58">
                  <c:v>0.60525399519463696</c:v>
                </c:pt>
                <c:pt idx="59">
                  <c:v>0.66625364701203327</c:v>
                </c:pt>
                <c:pt idx="60">
                  <c:v>0.70990949256374858</c:v>
                </c:pt>
                <c:pt idx="61">
                  <c:v>0.67468535701693555</c:v>
                </c:pt>
                <c:pt idx="62">
                  <c:v>0.60568832030783781</c:v>
                </c:pt>
                <c:pt idx="63">
                  <c:v>0.56008677201109536</c:v>
                </c:pt>
                <c:pt idx="64">
                  <c:v>0.681929548905162</c:v>
                </c:pt>
                <c:pt idx="65">
                  <c:v>0.74584287176355812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A7-4751-AA9D-CA91233E0AA4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'Kumulative Renditen'!$G$2:$G$67</c:f>
              <c:numCache>
                <c:formatCode>0.00%</c:formatCode>
                <c:ptCount val="66"/>
                <c:pt idx="0">
                  <c:v>9.4400000000000039E-2</c:v>
                </c:pt>
                <c:pt idx="1">
                  <c:v>0.10140415999999997</c:v>
                </c:pt>
                <c:pt idx="2">
                  <c:v>0.11043567411200006</c:v>
                </c:pt>
                <c:pt idx="3">
                  <c:v>0.15996110517739526</c:v>
                </c:pt>
                <c:pt idx="4">
                  <c:v>6.2524372342494194E-2</c:v>
                </c:pt>
                <c:pt idx="5">
                  <c:v>9.3231326703192119E-2</c:v>
                </c:pt>
                <c:pt idx="6">
                  <c:v>9.6073728152620275E-2</c:v>
                </c:pt>
                <c:pt idx="7">
                  <c:v>4.1050826999358803E-2</c:v>
                </c:pt>
                <c:pt idx="8">
                  <c:v>6.9263304411041338E-2</c:v>
                </c:pt>
                <c:pt idx="9">
                  <c:v>0.10369358281307695</c:v>
                </c:pt>
                <c:pt idx="10">
                  <c:v>0.11605495094058349</c:v>
                </c:pt>
                <c:pt idx="11">
                  <c:v>0.16248283689971177</c:v>
                </c:pt>
                <c:pt idx="12">
                  <c:v>0.10005750855819717</c:v>
                </c:pt>
                <c:pt idx="13">
                  <c:v>4.8574817157673644E-2</c:v>
                </c:pt>
                <c:pt idx="14">
                  <c:v>-0.11206684483088192</c:v>
                </c:pt>
                <c:pt idx="15">
                  <c:v>-3.3484760598414987E-2</c:v>
                </c:pt>
                <c:pt idx="16">
                  <c:v>-3.0005305736569232E-2</c:v>
                </c:pt>
                <c:pt idx="17">
                  <c:v>2.722438122497306E-2</c:v>
                </c:pt>
                <c:pt idx="18">
                  <c:v>7.5093037390056683E-2</c:v>
                </c:pt>
                <c:pt idx="19">
                  <c:v>8.8209172446215289E-2</c:v>
                </c:pt>
                <c:pt idx="20">
                  <c:v>9.2562009136000212E-2</c:v>
                </c:pt>
                <c:pt idx="21">
                  <c:v>0.11233738150136174</c:v>
                </c:pt>
                <c:pt idx="22">
                  <c:v>0.20021203463996917</c:v>
                </c:pt>
                <c:pt idx="23">
                  <c:v>0.25758216989575988</c:v>
                </c:pt>
                <c:pt idx="24">
                  <c:v>0.30184906227609054</c:v>
                </c:pt>
                <c:pt idx="25">
                  <c:v>0.3363480624264068</c:v>
                </c:pt>
                <c:pt idx="26">
                  <c:v>0.36775224189342737</c:v>
                </c:pt>
                <c:pt idx="27">
                  <c:v>0.35667344873409057</c:v>
                </c:pt>
                <c:pt idx="28">
                  <c:v>0.36874784242782388</c:v>
                </c:pt>
                <c:pt idx="29">
                  <c:v>0.40789403072125952</c:v>
                </c:pt>
                <c:pt idx="30">
                  <c:v>0.28709672288537558</c:v>
                </c:pt>
                <c:pt idx="31">
                  <c:v>0.33098672113576688</c:v>
                </c:pt>
                <c:pt idx="32">
                  <c:v>0.30170501327077992</c:v>
                </c:pt>
                <c:pt idx="33">
                  <c:v>0.28673540561816591</c:v>
                </c:pt>
                <c:pt idx="34">
                  <c:v>0.24864803761186827</c:v>
                </c:pt>
                <c:pt idx="35">
                  <c:v>0.25339290015479343</c:v>
                </c:pt>
                <c:pt idx="36">
                  <c:v>0.25853181104542799</c:v>
                </c:pt>
                <c:pt idx="37">
                  <c:v>0.19824813729635182</c:v>
                </c:pt>
                <c:pt idx="38">
                  <c:v>0.17799774377604338</c:v>
                </c:pt>
                <c:pt idx="39">
                  <c:v>0.17328575280093927</c:v>
                </c:pt>
                <c:pt idx="40">
                  <c:v>0.16448610965493238</c:v>
                </c:pt>
                <c:pt idx="41">
                  <c:v>8.6581988919017361E-2</c:v>
                </c:pt>
                <c:pt idx="42">
                  <c:v>7.6476776422070625E-2</c:v>
                </c:pt>
                <c:pt idx="43">
                  <c:v>0.10629518312896202</c:v>
                </c:pt>
                <c:pt idx="44">
                  <c:v>-1.5065398460285095E-2</c:v>
                </c:pt>
                <c:pt idx="45">
                  <c:v>-2.905146980214901E-2</c:v>
                </c:pt>
                <c:pt idx="46">
                  <c:v>6.0955458947191676E-2</c:v>
                </c:pt>
                <c:pt idx="47">
                  <c:v>1.6289234125514973E-2</c:v>
                </c:pt>
                <c:pt idx="48">
                  <c:v>9.0783234986915096E-2</c:v>
                </c:pt>
                <c:pt idx="49">
                  <c:v>4.0934441148013034E-2</c:v>
                </c:pt>
                <c:pt idx="50">
                  <c:v>4.5930926465523436E-2</c:v>
                </c:pt>
                <c:pt idx="51">
                  <c:v>6.1855512598334439E-3</c:v>
                </c:pt>
                <c:pt idx="52">
                  <c:v>1.5945551107053868E-2</c:v>
                </c:pt>
                <c:pt idx="53">
                  <c:v>3.1997490814545282E-2</c:v>
                </c:pt>
                <c:pt idx="54">
                  <c:v>6.2647816291737435E-2</c:v>
                </c:pt>
                <c:pt idx="55">
                  <c:v>1.4722399776980089E-2</c:v>
                </c:pt>
                <c:pt idx="56">
                  <c:v>2.1825456575418789E-2</c:v>
                </c:pt>
                <c:pt idx="57">
                  <c:v>-2.2010855511666705E-2</c:v>
                </c:pt>
                <c:pt idx="58">
                  <c:v>6.5464275073925382E-3</c:v>
                </c:pt>
                <c:pt idx="59">
                  <c:v>1.0975231788425077E-2</c:v>
                </c:pt>
                <c:pt idx="60">
                  <c:v>4.1001196172541388E-2</c:v>
                </c:pt>
                <c:pt idx="61">
                  <c:v>-5.9479577748402512E-3</c:v>
                </c:pt>
                <c:pt idx="62">
                  <c:v>1.010406520735696E-3</c:v>
                </c:pt>
                <c:pt idx="63">
                  <c:v>-4.1932939919003931E-2</c:v>
                </c:pt>
                <c:pt idx="64">
                  <c:v>-1.3957381764638899E-2</c:v>
                </c:pt>
                <c:pt idx="65">
                  <c:v>-9.6187942444033725E-3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7A7-4751-AA9D-CA91233E0AA4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'Kumulative Renditen'!$H$2:$H$67</c:f>
              <c:numCache>
                <c:formatCode>0.00%</c:formatCode>
                <c:ptCount val="66"/>
                <c:pt idx="0">
                  <c:v>6.2631383000000262E-3</c:v>
                </c:pt>
                <c:pt idx="1">
                  <c:v>8.2400507103566056E-3</c:v>
                </c:pt>
                <c:pt idx="2">
                  <c:v>-3.0440951093018143E-3</c:v>
                </c:pt>
                <c:pt idx="3">
                  <c:v>1.8833542333088316E-2</c:v>
                </c:pt>
                <c:pt idx="4">
                  <c:v>5.6947130601039397E-3</c:v>
                </c:pt>
                <c:pt idx="5">
                  <c:v>-1.7401837975226098E-3</c:v>
                </c:pt>
                <c:pt idx="6">
                  <c:v>1.3280960084355531E-2</c:v>
                </c:pt>
                <c:pt idx="7">
                  <c:v>1.4014987702151149E-2</c:v>
                </c:pt>
                <c:pt idx="8">
                  <c:v>5.6632635962355016E-2</c:v>
                </c:pt>
                <c:pt idx="9">
                  <c:v>4.5263851743625461E-2</c:v>
                </c:pt>
                <c:pt idx="10">
                  <c:v>5.8537628234056172E-2</c:v>
                </c:pt>
                <c:pt idx="11">
                  <c:v>2.1651899397269858E-2</c:v>
                </c:pt>
                <c:pt idx="12">
                  <c:v>1.7273503624109621E-2</c:v>
                </c:pt>
                <c:pt idx="13">
                  <c:v>1.9545724988561552E-2</c:v>
                </c:pt>
                <c:pt idx="14">
                  <c:v>7.4061559087028384E-2</c:v>
                </c:pt>
                <c:pt idx="15">
                  <c:v>7.0880449208940544E-2</c:v>
                </c:pt>
                <c:pt idx="16">
                  <c:v>6.5960216058091437E-2</c:v>
                </c:pt>
                <c:pt idx="17">
                  <c:v>-3.8264829999455796E-2</c:v>
                </c:pt>
                <c:pt idx="18">
                  <c:v>-7.61060553336389E-2</c:v>
                </c:pt>
                <c:pt idx="19">
                  <c:v>-8.5972739787201546E-2</c:v>
                </c:pt>
                <c:pt idx="20">
                  <c:v>-2.4948226975103349E-3</c:v>
                </c:pt>
                <c:pt idx="21">
                  <c:v>-5.2040097516218298E-3</c:v>
                </c:pt>
                <c:pt idx="22">
                  <c:v>-1.7369133353882793E-2</c:v>
                </c:pt>
                <c:pt idx="23">
                  <c:v>3.8938549342444562E-2</c:v>
                </c:pt>
                <c:pt idx="24">
                  <c:v>4.5124265312072698E-2</c:v>
                </c:pt>
                <c:pt idx="25">
                  <c:v>6.3454574595494195E-2</c:v>
                </c:pt>
                <c:pt idx="26">
                  <c:v>0.24097328157179865</c:v>
                </c:pt>
                <c:pt idx="27">
                  <c:v>0.20227983951463235</c:v>
                </c:pt>
                <c:pt idx="28">
                  <c:v>0.18558102375790053</c:v>
                </c:pt>
                <c:pt idx="29">
                  <c:v>0.34733444323923734</c:v>
                </c:pt>
                <c:pt idx="30">
                  <c:v>0.3208990137675507</c:v>
                </c:pt>
                <c:pt idx="31">
                  <c:v>0.33489321470157862</c:v>
                </c:pt>
                <c:pt idx="32">
                  <c:v>0.5030679134255831</c:v>
                </c:pt>
                <c:pt idx="33">
                  <c:v>0.47179035091136567</c:v>
                </c:pt>
                <c:pt idx="34">
                  <c:v>0.49053943932818589</c:v>
                </c:pt>
                <c:pt idx="35">
                  <c:v>0.59065381307126708</c:v>
                </c:pt>
                <c:pt idx="36">
                  <c:v>0.62488027829002157</c:v>
                </c:pt>
                <c:pt idx="37">
                  <c:v>0.60118436207537296</c:v>
                </c:pt>
                <c:pt idx="38">
                  <c:v>0.71249235167192326</c:v>
                </c:pt>
                <c:pt idx="39">
                  <c:v>0.80649080597506551</c:v>
                </c:pt>
                <c:pt idx="40">
                  <c:v>0.78223651754208934</c:v>
                </c:pt>
                <c:pt idx="41">
                  <c:v>0.7607479159433399</c:v>
                </c:pt>
                <c:pt idx="42">
                  <c:v>0.75104620056088556</c:v>
                </c:pt>
                <c:pt idx="43">
                  <c:v>0.79469519057241689</c:v>
                </c:pt>
                <c:pt idx="44">
                  <c:v>0.72858917345679708</c:v>
                </c:pt>
                <c:pt idx="45">
                  <c:v>0.75725808764413238</c:v>
                </c:pt>
                <c:pt idx="46">
                  <c:v>0.67270834454641881</c:v>
                </c:pt>
                <c:pt idx="47">
                  <c:v>0.60743116050301738</c:v>
                </c:pt>
                <c:pt idx="48">
                  <c:v>0.59614157542733026</c:v>
                </c:pt>
                <c:pt idx="49">
                  <c:v>0.62828286620449503</c:v>
                </c:pt>
                <c:pt idx="50">
                  <c:v>0.6061748225344612</c:v>
                </c:pt>
                <c:pt idx="51">
                  <c:v>0.564706971832033</c:v>
                </c:pt>
                <c:pt idx="52">
                  <c:v>0.60680298980395708</c:v>
                </c:pt>
                <c:pt idx="53">
                  <c:v>0.60051825788625623</c:v>
                </c:pt>
                <c:pt idx="54">
                  <c:v>0.5490690440669781</c:v>
                </c:pt>
                <c:pt idx="55">
                  <c:v>0.57837511529703911</c:v>
                </c:pt>
                <c:pt idx="56">
                  <c:v>0.66411217250325372</c:v>
                </c:pt>
                <c:pt idx="57">
                  <c:v>0.65520431134229429</c:v>
                </c:pt>
                <c:pt idx="58">
                  <c:v>0.58155088274852162</c:v>
                </c:pt>
                <c:pt idx="59">
                  <c:v>0.51719305630813084</c:v>
                </c:pt>
                <c:pt idx="60">
                  <c:v>0.46842235995743131</c:v>
                </c:pt>
                <c:pt idx="61">
                  <c:v>0.49620271645060909</c:v>
                </c:pt>
                <c:pt idx="62">
                  <c:v>0.57747618347956586</c:v>
                </c:pt>
                <c:pt idx="63">
                  <c:v>0.56903207793227062</c:v>
                </c:pt>
                <c:pt idx="64">
                  <c:v>0.49921314904148884</c:v>
                </c:pt>
                <c:pt idx="65">
                  <c:v>0.43820588035628272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7A7-4751-AA9D-CA91233E0AA4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'Kumulative Renditen'!$I$2:$I$67</c:f>
              <c:numCache>
                <c:formatCode>0.00%</c:formatCode>
                <c:ptCount val="66"/>
                <c:pt idx="0">
                  <c:v>3.4000000000000696E-3</c:v>
                </c:pt>
                <c:pt idx="1">
                  <c:v>6.8115600000000498E-3</c:v>
                </c:pt>
                <c:pt idx="2">
                  <c:v>1.0234719304000217E-2</c:v>
                </c:pt>
                <c:pt idx="3">
                  <c:v>1.3669517349633953E-2</c:v>
                </c:pt>
                <c:pt idx="4">
                  <c:v>1.7115993708622712E-2</c:v>
                </c:pt>
                <c:pt idx="5">
                  <c:v>2.0574188087232104E-2</c:v>
                </c:pt>
                <c:pt idx="6">
                  <c:v>2.4044140326728858E-2</c:v>
                </c:pt>
                <c:pt idx="7">
                  <c:v>2.7525890403839792E-2</c:v>
                </c:pt>
                <c:pt idx="8">
                  <c:v>3.1019478431212999E-2</c:v>
                </c:pt>
                <c:pt idx="9">
                  <c:v>3.4524944657879253E-2</c:v>
                </c:pt>
                <c:pt idx="10">
                  <c:v>3.8042329469716085E-2</c:v>
                </c:pt>
                <c:pt idx="11">
                  <c:v>5.4754810974178447E-2</c:v>
                </c:pt>
                <c:pt idx="12">
                  <c:v>5.8235501850393279E-2</c:v>
                </c:pt>
                <c:pt idx="13">
                  <c:v>6.1833502556684738E-2</c:v>
                </c:pt>
                <c:pt idx="14">
                  <c:v>6.5443736465377489E-2</c:v>
                </c:pt>
                <c:pt idx="15">
                  <c:v>6.9066245169359775E-2</c:v>
                </c:pt>
                <c:pt idx="16">
                  <c:v>7.2701070402935608E-2</c:v>
                </c:pt>
                <c:pt idx="17">
                  <c:v>7.6348254042305719E-2</c:v>
                </c:pt>
                <c:pt idx="18">
                  <c:v>8.0007838106049611E-2</c:v>
                </c:pt>
                <c:pt idx="19">
                  <c:v>8.3679864755610289E-2</c:v>
                </c:pt>
                <c:pt idx="20">
                  <c:v>8.7364376295779422E-2</c:v>
                </c:pt>
                <c:pt idx="21">
                  <c:v>9.1061415175185179E-2</c:v>
                </c:pt>
                <c:pt idx="22">
                  <c:v>9.4771023986780945E-2</c:v>
                </c:pt>
                <c:pt idx="23">
                  <c:v>0.13078899067594607</c:v>
                </c:pt>
                <c:pt idx="24">
                  <c:v>0.13418135764797379</c:v>
                </c:pt>
                <c:pt idx="25">
                  <c:v>0.1375839017209175</c:v>
                </c:pt>
                <c:pt idx="26">
                  <c:v>0.14099665342608003</c:v>
                </c:pt>
                <c:pt idx="27">
                  <c:v>0.14441964338635804</c:v>
                </c:pt>
                <c:pt idx="28">
                  <c:v>0.14785290231651693</c:v>
                </c:pt>
                <c:pt idx="29">
                  <c:v>0.15129646102346639</c:v>
                </c:pt>
                <c:pt idx="30">
                  <c:v>0.15475035040653662</c:v>
                </c:pt>
                <c:pt idx="31">
                  <c:v>0.15821460145775612</c:v>
                </c:pt>
                <c:pt idx="32">
                  <c:v>0.16168924526212924</c:v>
                </c:pt>
                <c:pt idx="33">
                  <c:v>0.16517431299791552</c:v>
                </c:pt>
                <c:pt idx="34">
                  <c:v>0.16866983593690921</c:v>
                </c:pt>
                <c:pt idx="35">
                  <c:v>0.1884203561642428</c:v>
                </c:pt>
                <c:pt idx="36">
                  <c:v>0.19198561723273544</c:v>
                </c:pt>
                <c:pt idx="37">
                  <c:v>0.19556157408443342</c:v>
                </c:pt>
                <c:pt idx="38">
                  <c:v>0.19914825880668663</c:v>
                </c:pt>
                <c:pt idx="39">
                  <c:v>0.20274570358310662</c:v>
                </c:pt>
                <c:pt idx="40">
                  <c:v>0.20635394069385571</c:v>
                </c:pt>
                <c:pt idx="41">
                  <c:v>0.2099730025159372</c:v>
                </c:pt>
                <c:pt idx="42">
                  <c:v>0.21360292152348492</c:v>
                </c:pt>
                <c:pt idx="43">
                  <c:v>0.21724373028805521</c:v>
                </c:pt>
                <c:pt idx="44">
                  <c:v>0.22089546147891914</c:v>
                </c:pt>
                <c:pt idx="45">
                  <c:v>0.22455814786335582</c:v>
                </c:pt>
                <c:pt idx="46">
                  <c:v>0.22823182230694572</c:v>
                </c:pt>
                <c:pt idx="47">
                  <c:v>0.22909158458256051</c:v>
                </c:pt>
                <c:pt idx="48">
                  <c:v>0.23265595017784979</c:v>
                </c:pt>
                <c:pt idx="49">
                  <c:v>0.2362306524333655</c:v>
                </c:pt>
                <c:pt idx="50">
                  <c:v>0.23981572132542217</c:v>
                </c:pt>
                <c:pt idx="51">
                  <c:v>0.24341118691726571</c:v>
                </c:pt>
                <c:pt idx="52">
                  <c:v>0.2470170793593256</c:v>
                </c:pt>
                <c:pt idx="53">
                  <c:v>0.2506334288894676</c:v>
                </c:pt>
                <c:pt idx="54">
                  <c:v>0.2542602658332469</c:v>
                </c:pt>
                <c:pt idx="55">
                  <c:v>0.25789762060416321</c:v>
                </c:pt>
                <c:pt idx="56">
                  <c:v>0.25840077965240482</c:v>
                </c:pt>
                <c:pt idx="57">
                  <c:v>0.25890413996426576</c:v>
                </c:pt>
                <c:pt idx="58">
                  <c:v>0.27788841439492695</c:v>
                </c:pt>
                <c:pt idx="59">
                  <c:v>0.28696142213713105</c:v>
                </c:pt>
                <c:pt idx="60">
                  <c:v>0.29069361026132867</c:v>
                </c:pt>
                <c:pt idx="61">
                  <c:v>0.29443662173108631</c:v>
                </c:pt>
                <c:pt idx="62">
                  <c:v>0.29495439637977872</c:v>
                </c:pt>
                <c:pt idx="63">
                  <c:v>0.2954723781383306</c:v>
                </c:pt>
                <c:pt idx="64">
                  <c:v>0.31500810160065651</c:v>
                </c:pt>
                <c:pt idx="65">
                  <c:v>0.32434465912202137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7A7-4751-AA9D-CA91233E0AA4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'Kumulative Renditen'!$J$2:$J$67</c:f>
              <c:numCache>
                <c:formatCode>0.00%</c:formatCode>
                <c:ptCount val="66"/>
                <c:pt idx="0">
                  <c:v>2.0616561052249072E-2</c:v>
                </c:pt>
                <c:pt idx="1">
                  <c:v>4.887430109625801E-2</c:v>
                </c:pt>
                <c:pt idx="2">
                  <c:v>4.7654525958495064E-2</c:v>
                </c:pt>
                <c:pt idx="3">
                  <c:v>4.3329245883875434E-2</c:v>
                </c:pt>
                <c:pt idx="4">
                  <c:v>1.7756170823327366E-2</c:v>
                </c:pt>
                <c:pt idx="5">
                  <c:v>2.1415311294510575E-2</c:v>
                </c:pt>
                <c:pt idx="6">
                  <c:v>2.7960685374023075E-2</c:v>
                </c:pt>
                <c:pt idx="7">
                  <c:v>4.0091890816171372E-2</c:v>
                </c:pt>
                <c:pt idx="8">
                  <c:v>5.7540073757866406E-2</c:v>
                </c:pt>
                <c:pt idx="9">
                  <c:v>6.2270030248420039E-2</c:v>
                </c:pt>
                <c:pt idx="10">
                  <c:v>5.9454518904435316E-2</c:v>
                </c:pt>
                <c:pt idx="11">
                  <c:v>5.7068335817781257E-2</c:v>
                </c:pt>
                <c:pt idx="12">
                  <c:v>6.7379658065163994E-2</c:v>
                </c:pt>
                <c:pt idx="13">
                  <c:v>0.10473433607711558</c:v>
                </c:pt>
                <c:pt idx="14">
                  <c:v>6.1038687501590472E-2</c:v>
                </c:pt>
                <c:pt idx="15">
                  <c:v>3.2410116019791158E-2</c:v>
                </c:pt>
                <c:pt idx="16">
                  <c:v>5.2641334839955478E-2</c:v>
                </c:pt>
                <c:pt idx="17">
                  <c:v>3.7312991159637265E-2</c:v>
                </c:pt>
                <c:pt idx="18">
                  <c:v>2.7152544447705429E-2</c:v>
                </c:pt>
                <c:pt idx="19">
                  <c:v>3.4878493383524445E-2</c:v>
                </c:pt>
                <c:pt idx="20">
                  <c:v>3.5181631316532513E-2</c:v>
                </c:pt>
                <c:pt idx="21">
                  <c:v>2.2703823828319925E-2</c:v>
                </c:pt>
                <c:pt idx="22">
                  <c:v>2.0116465761844227E-2</c:v>
                </c:pt>
                <c:pt idx="23">
                  <c:v>2.4127563705219846E-2</c:v>
                </c:pt>
                <c:pt idx="24">
                  <c:v>2.4127563705219401E-2</c:v>
                </c:pt>
                <c:pt idx="25">
                  <c:v>5.744541136897019E-2</c:v>
                </c:pt>
                <c:pt idx="26">
                  <c:v>5.7311954732662151E-2</c:v>
                </c:pt>
                <c:pt idx="27">
                  <c:v>6.9232364468926999E-2</c:v>
                </c:pt>
                <c:pt idx="28">
                  <c:v>7.8219298319890829E-2</c:v>
                </c:pt>
                <c:pt idx="29">
                  <c:v>0.10819230441689909</c:v>
                </c:pt>
                <c:pt idx="30">
                  <c:v>0.10063351030368772</c:v>
                </c:pt>
                <c:pt idx="31">
                  <c:v>0.10566341392147072</c:v>
                </c:pt>
                <c:pt idx="32">
                  <c:v>0.13610528986184645</c:v>
                </c:pt>
                <c:pt idx="33">
                  <c:v>0.1250784062876158</c:v>
                </c:pt>
                <c:pt idx="34">
                  <c:v>0.11581133098918928</c:v>
                </c:pt>
                <c:pt idx="35">
                  <c:v>0.18463524337140114</c:v>
                </c:pt>
                <c:pt idx="36">
                  <c:v>0.18844443151014567</c:v>
                </c:pt>
                <c:pt idx="37">
                  <c:v>0.1770170371682076</c:v>
                </c:pt>
                <c:pt idx="38">
                  <c:v>0.22547579700677933</c:v>
                </c:pt>
                <c:pt idx="39">
                  <c:v>0.20640703574948738</c:v>
                </c:pt>
                <c:pt idx="40">
                  <c:v>0.20234163872861366</c:v>
                </c:pt>
                <c:pt idx="41">
                  <c:v>0.19706311599726711</c:v>
                </c:pt>
                <c:pt idx="42">
                  <c:v>0.23171809320538794</c:v>
                </c:pt>
                <c:pt idx="43">
                  <c:v>0.21026156402175</c:v>
                </c:pt>
                <c:pt idx="44">
                  <c:v>0.20094254997878247</c:v>
                </c:pt>
                <c:pt idx="45">
                  <c:v>0.17770431163669298</c:v>
                </c:pt>
                <c:pt idx="46">
                  <c:v>0.17272262239846992</c:v>
                </c:pt>
                <c:pt idx="47">
                  <c:v>0.17936023244124533</c:v>
                </c:pt>
                <c:pt idx="48">
                  <c:v>0.13653766240130372</c:v>
                </c:pt>
                <c:pt idx="49">
                  <c:v>0.14317504234972733</c:v>
                </c:pt>
                <c:pt idx="50">
                  <c:v>9.9905866996790049E-2</c:v>
                </c:pt>
                <c:pt idx="51">
                  <c:v>8.4716166973564322E-2</c:v>
                </c:pt>
                <c:pt idx="52">
                  <c:v>9.5910437816731697E-2</c:v>
                </c:pt>
                <c:pt idx="53">
                  <c:v>8.2660880623527389E-2</c:v>
                </c:pt>
                <c:pt idx="54">
                  <c:v>7.9282978675981886E-2</c:v>
                </c:pt>
                <c:pt idx="55">
                  <c:v>8.0362261654657763E-2</c:v>
                </c:pt>
                <c:pt idx="56">
                  <c:v>5.4109458696449675E-2</c:v>
                </c:pt>
                <c:pt idx="57">
                  <c:v>4.3884596947094012E-2</c:v>
                </c:pt>
                <c:pt idx="58">
                  <c:v>0.10035875364193192</c:v>
                </c:pt>
                <c:pt idx="59">
                  <c:v>0.10068886126802457</c:v>
                </c:pt>
                <c:pt idx="60">
                  <c:v>9.7254712020868217E-2</c:v>
                </c:pt>
                <c:pt idx="61">
                  <c:v>9.8351966732888929E-2</c:v>
                </c:pt>
                <c:pt idx="62">
                  <c:v>7.1662013941279801E-2</c:v>
                </c:pt>
                <c:pt idx="63">
                  <c:v>6.1266892406049323E-2</c:v>
                </c:pt>
                <c:pt idx="64">
                  <c:v>0.11868143128521669</c:v>
                </c:pt>
                <c:pt idx="65">
                  <c:v>0.11901703571460232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7A7-4751-AA9D-CA91233E0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26576"/>
        <c:axId val="84027056"/>
      </c:lineChart>
      <c:catAx>
        <c:axId val="84026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027056"/>
        <c:crosses val="autoZero"/>
        <c:auto val="1"/>
        <c:lblAlgn val="ctr"/>
        <c:lblOffset val="100"/>
        <c:noMultiLvlLbl val="0"/>
      </c:catAx>
      <c:valAx>
        <c:axId val="8402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02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971550</xdr:colOff>
      <xdr:row>17</xdr:row>
      <xdr:rowOff>171451</xdr:rowOff>
    </xdr:from>
    <xdr:to>
      <xdr:col>12</xdr:col>
      <xdr:colOff>1219200</xdr:colOff>
      <xdr:row>38</xdr:row>
      <xdr:rowOff>9525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C882DEA7-F0F3-4CC0-BEC6-C07EEE52A8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1171574</xdr:colOff>
      <xdr:row>11</xdr:row>
      <xdr:rowOff>90487</xdr:rowOff>
    </xdr:from>
    <xdr:to>
      <xdr:col>9</xdr:col>
      <xdr:colOff>209549</xdr:colOff>
      <xdr:row>30</xdr:row>
      <xdr:rowOff>142875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9C5092F5-EB42-4185-3D9B-56FC765780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Larissa">
  <a:themeElements>
    <a:clrScheme name="PPCmetrics_V4">
      <a:dk1>
        <a:sysClr val="windowText" lastClr="000000"/>
      </a:dk1>
      <a:lt1>
        <a:sysClr val="window" lastClr="FFFFFF"/>
      </a:lt1>
      <a:dk2>
        <a:srgbClr val="280623"/>
      </a:dk2>
      <a:lt2>
        <a:srgbClr val="EEECE1"/>
      </a:lt2>
      <a:accent1>
        <a:srgbClr val="3274D4"/>
      </a:accent1>
      <a:accent2>
        <a:srgbClr val="D50D3D"/>
      </a:accent2>
      <a:accent3>
        <a:srgbClr val="A451AF"/>
      </a:accent3>
      <a:accent4>
        <a:srgbClr val="87CA36"/>
      </a:accent4>
      <a:accent5>
        <a:srgbClr val="FF8C00"/>
      </a:accent5>
      <a:accent6>
        <a:srgbClr val="FFFF00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AO118"/>
  <sheetViews>
    <sheetView zoomScaleNormal="100" workbookViewId="0">
      <pane ySplit="3" topLeftCell="A44" activePane="bottomLeft" state="frozen"/>
      <selection pane="bottomLeft" activeCell="M64" sqref="M64"/>
    </sheetView>
  </sheetViews>
  <sheetFormatPr baseColWidth="10" defaultColWidth="11.42578125" defaultRowHeight="12.75" x14ac:dyDescent="0.2"/>
  <cols>
    <col min="1" max="1" width="12.42578125" style="13" customWidth="1"/>
    <col min="2" max="10" width="12.5703125" style="5" customWidth="1"/>
    <col min="11" max="11" width="11.42578125" style="16"/>
    <col min="12" max="12" width="12.42578125" style="13" customWidth="1"/>
    <col min="13" max="21" width="12.5703125" style="5" customWidth="1"/>
    <col min="22" max="22" width="11.42578125" style="16"/>
    <col min="23" max="23" width="12.5703125" style="5" customWidth="1"/>
    <col min="24" max="41" width="11.42578125" style="16"/>
    <col min="42" max="16384" width="11.42578125" style="5"/>
  </cols>
  <sheetData>
    <row r="1" spans="1:41" s="18" customFormat="1" ht="39" customHeight="1" x14ac:dyDescent="0.25">
      <c r="A1" s="14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50</v>
      </c>
      <c r="H1" s="9" t="s">
        <v>52</v>
      </c>
      <c r="I1" s="9" t="s">
        <v>51</v>
      </c>
      <c r="J1" s="9" t="s">
        <v>91</v>
      </c>
      <c r="K1" s="19"/>
      <c r="L1" s="14"/>
      <c r="M1" s="9" t="s">
        <v>0</v>
      </c>
      <c r="N1" s="9" t="s">
        <v>1</v>
      </c>
      <c r="O1" s="9" t="s">
        <v>2</v>
      </c>
      <c r="P1" s="9" t="s">
        <v>3</v>
      </c>
      <c r="Q1" s="9" t="s">
        <v>4</v>
      </c>
      <c r="R1" s="9" t="s">
        <v>50</v>
      </c>
      <c r="S1" s="9" t="s">
        <v>52</v>
      </c>
      <c r="T1" s="9" t="s">
        <v>51</v>
      </c>
      <c r="U1" s="9" t="s">
        <v>91</v>
      </c>
      <c r="V1" s="19"/>
      <c r="W1" s="9" t="s">
        <v>83</v>
      </c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</row>
    <row r="2" spans="1:41" s="16" customFormat="1" x14ac:dyDescent="0.2">
      <c r="A2" s="20"/>
      <c r="B2" s="17"/>
      <c r="C2" s="17"/>
      <c r="D2" s="17"/>
      <c r="E2" s="17"/>
      <c r="F2" s="17"/>
      <c r="G2" s="17"/>
      <c r="H2" s="17"/>
      <c r="I2" s="17"/>
      <c r="J2" s="17"/>
      <c r="K2" s="70"/>
      <c r="L2" s="20"/>
      <c r="M2" s="17"/>
      <c r="N2" s="17"/>
      <c r="O2" s="17"/>
      <c r="P2" s="17"/>
      <c r="Q2" s="17"/>
      <c r="R2" s="17"/>
      <c r="S2" s="17"/>
      <c r="T2" s="17"/>
      <c r="U2" s="17"/>
      <c r="V2" s="70"/>
      <c r="W2" s="23"/>
    </row>
    <row r="3" spans="1:41" s="15" customFormat="1" x14ac:dyDescent="0.2">
      <c r="A3" s="12" t="s">
        <v>24</v>
      </c>
      <c r="B3" s="11"/>
      <c r="C3" s="11"/>
      <c r="D3" s="11"/>
      <c r="E3" s="11"/>
      <c r="F3" s="11"/>
      <c r="G3" s="11"/>
      <c r="H3" s="11"/>
      <c r="I3" s="11"/>
      <c r="J3" s="11"/>
      <c r="K3" s="16"/>
      <c r="L3" s="12" t="s">
        <v>25</v>
      </c>
      <c r="M3" s="11"/>
      <c r="N3" s="11"/>
      <c r="O3" s="11"/>
      <c r="P3" s="11"/>
      <c r="Q3" s="11"/>
      <c r="R3" s="11"/>
      <c r="S3" s="11"/>
      <c r="T3" s="11"/>
      <c r="U3" s="11"/>
      <c r="V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</row>
    <row r="4" spans="1:41" x14ac:dyDescent="0.2">
      <c r="A4" s="22">
        <v>43496</v>
      </c>
      <c r="B4" s="26">
        <v>2.0000000000000001E-4</v>
      </c>
      <c r="C4" s="26">
        <v>6.0000000000000001E-3</v>
      </c>
      <c r="D4" s="26">
        <v>4.4948757832301997E-2</v>
      </c>
      <c r="E4" s="26">
        <v>6.9400000000000003E-2</v>
      </c>
      <c r="F4" s="26">
        <v>7.0999999999999994E-2</v>
      </c>
      <c r="G4" s="26">
        <v>9.4399999999999998E-2</v>
      </c>
      <c r="H4" s="26">
        <v>6.2631383000000002E-3</v>
      </c>
      <c r="I4" s="26">
        <v>3.3999999999999998E-3</v>
      </c>
      <c r="J4" s="26">
        <v>2.0616561052248999E-2</v>
      </c>
      <c r="L4" s="22">
        <v>43496</v>
      </c>
      <c r="M4" s="25">
        <v>-7.5481880000000004E-4</v>
      </c>
      <c r="N4" s="25">
        <v>3.2872105000000002E-3</v>
      </c>
      <c r="O4" s="25">
        <v>6.0515220999999998E-3</v>
      </c>
      <c r="P4" s="25">
        <v>6.9611986099999995E-2</v>
      </c>
      <c r="Q4" s="25">
        <v>7.1190243099999995E-2</v>
      </c>
      <c r="R4" s="25">
        <v>9.4508223200000005E-2</v>
      </c>
      <c r="S4" s="25">
        <v>0.11255421240000001</v>
      </c>
      <c r="T4" s="25">
        <v>3.2002074000000002E-3</v>
      </c>
      <c r="U4" s="25">
        <v>0.1021554689</v>
      </c>
      <c r="W4" s="25">
        <v>-6.1050000000000004E-4</v>
      </c>
      <c r="X4" s="71"/>
      <c r="Y4" s="24"/>
      <c r="Z4" s="81" t="s">
        <v>40</v>
      </c>
    </row>
    <row r="5" spans="1:41" x14ac:dyDescent="0.2">
      <c r="A5" s="22">
        <v>43524</v>
      </c>
      <c r="B5" s="26">
        <v>-1.5E-3</v>
      </c>
      <c r="C5" s="26">
        <v>-1E-4</v>
      </c>
      <c r="D5" s="26">
        <v>6.5972709059108001E-3</v>
      </c>
      <c r="E5" s="26">
        <v>4.2799999999999998E-2</v>
      </c>
      <c r="F5" s="26">
        <v>3.1E-2</v>
      </c>
      <c r="G5" s="26">
        <v>6.4000000000000003E-3</v>
      </c>
      <c r="H5" s="26">
        <v>1.9646078E-3</v>
      </c>
      <c r="I5" s="26">
        <v>3.3999999999999998E-3</v>
      </c>
      <c r="J5" s="26">
        <v>2.7686930745935999E-2</v>
      </c>
      <c r="L5" s="22">
        <v>43524</v>
      </c>
      <c r="M5" s="25">
        <v>-6.6453460000000003E-4</v>
      </c>
      <c r="N5" s="25">
        <v>9.1435539999999997E-4</v>
      </c>
      <c r="O5" s="25">
        <v>-3.4903095999999998E-3</v>
      </c>
      <c r="P5" s="25">
        <v>4.28091133E-2</v>
      </c>
      <c r="Q5" s="25">
        <v>3.1016596600000002E-2</v>
      </c>
      <c r="R5" s="25">
        <v>6.3896426999999999E-3</v>
      </c>
      <c r="S5" s="25">
        <v>3.1202208200000001E-2</v>
      </c>
      <c r="T5" s="25">
        <v>2.9008638999999999E-3</v>
      </c>
      <c r="U5" s="25">
        <v>1.7164257E-3</v>
      </c>
      <c r="W5" s="25">
        <v>-6.1149999999999996E-4</v>
      </c>
      <c r="X5" s="71"/>
      <c r="Y5" s="71"/>
    </row>
    <row r="6" spans="1:41" x14ac:dyDescent="0.2">
      <c r="A6" s="22">
        <v>43555</v>
      </c>
      <c r="B6" s="26">
        <v>-8.9999999999999998E-4</v>
      </c>
      <c r="C6" s="26">
        <v>1.3599999999999999E-2</v>
      </c>
      <c r="D6" s="26">
        <v>6.4783070407081998E-3</v>
      </c>
      <c r="E6" s="26">
        <v>2.5000000000000001E-2</v>
      </c>
      <c r="F6" s="26">
        <v>1.3899999999999999E-2</v>
      </c>
      <c r="G6" s="26">
        <v>8.2000000000000007E-3</v>
      </c>
      <c r="H6" s="26">
        <v>-1.11919238E-2</v>
      </c>
      <c r="I6" s="26">
        <v>3.3999999999999998E-3</v>
      </c>
      <c r="J6" s="26">
        <v>-1.1629373858125999E-3</v>
      </c>
      <c r="L6" s="22">
        <v>43555</v>
      </c>
      <c r="M6" s="25">
        <v>-7.238546E-4</v>
      </c>
      <c r="N6" s="25">
        <v>6.9275274000000003E-3</v>
      </c>
      <c r="O6" s="25">
        <v>1.6110281099999998E-2</v>
      </c>
      <c r="P6" s="25">
        <v>2.5238817100000002E-2</v>
      </c>
      <c r="Q6" s="25">
        <v>1.36159846E-2</v>
      </c>
      <c r="R6" s="25">
        <v>8.0883026999999993E-3</v>
      </c>
      <c r="S6" s="25">
        <v>4.9520346000000003E-3</v>
      </c>
      <c r="T6" s="25">
        <v>4.0374304999999996E-3</v>
      </c>
      <c r="U6" s="25">
        <v>3.6762033299999997E-2</v>
      </c>
      <c r="W6" s="25">
        <v>-6.1133330000000003E-4</v>
      </c>
      <c r="X6" s="71"/>
      <c r="Y6" s="71"/>
    </row>
    <row r="7" spans="1:41" x14ac:dyDescent="0.2">
      <c r="A7" s="22">
        <v>43585</v>
      </c>
      <c r="B7" s="26">
        <v>1.8E-3</v>
      </c>
      <c r="C7" s="26">
        <v>-3.5999999999999999E-3</v>
      </c>
      <c r="D7" s="26">
        <v>1.1534783302112001E-3</v>
      </c>
      <c r="E7" s="26">
        <v>4.3900000000000002E-2</v>
      </c>
      <c r="F7" s="26">
        <v>3.6299999999999999E-2</v>
      </c>
      <c r="G7" s="26">
        <v>4.4600000000000001E-2</v>
      </c>
      <c r="H7" s="26">
        <v>2.1944438399999999E-2</v>
      </c>
      <c r="I7" s="26">
        <v>3.3999999999999998E-3</v>
      </c>
      <c r="J7" s="26">
        <v>-4.1285366191325997E-3</v>
      </c>
      <c r="L7" s="22">
        <v>43585</v>
      </c>
      <c r="M7" s="25">
        <v>-6.6719119999999999E-4</v>
      </c>
      <c r="N7" s="25">
        <v>-1.0584411000000001E-3</v>
      </c>
      <c r="O7" s="25">
        <v>-4.6166126999999998E-3</v>
      </c>
      <c r="P7" s="25">
        <v>4.3942856600000003E-2</v>
      </c>
      <c r="Q7" s="25">
        <v>3.6417713099999999E-2</v>
      </c>
      <c r="R7" s="25">
        <v>4.4736907200000002E-2</v>
      </c>
      <c r="S7" s="25">
        <v>9.0216525199999995E-2</v>
      </c>
      <c r="T7" s="25">
        <v>3.0764758999999998E-3</v>
      </c>
      <c r="U7" s="25">
        <v>-1.27710723E-2</v>
      </c>
      <c r="W7" s="25">
        <v>-6.1300000000000005E-4</v>
      </c>
      <c r="X7" s="71"/>
      <c r="Y7" s="71"/>
    </row>
    <row r="8" spans="1:41" x14ac:dyDescent="0.2">
      <c r="A8" s="22">
        <v>43616</v>
      </c>
      <c r="B8" s="26">
        <v>-1.4E-3</v>
      </c>
      <c r="C8" s="26">
        <v>1.4800000000000001E-2</v>
      </c>
      <c r="D8" s="26">
        <v>-2.5145390209005999E-3</v>
      </c>
      <c r="E8" s="26">
        <v>-1.6199999999999999E-2</v>
      </c>
      <c r="F8" s="26">
        <v>-6.0100000000000001E-2</v>
      </c>
      <c r="G8" s="26">
        <v>-8.4000000000000005E-2</v>
      </c>
      <c r="H8" s="26">
        <v>-1.2895952800000001E-2</v>
      </c>
      <c r="I8" s="26">
        <v>3.3999999999999998E-3</v>
      </c>
      <c r="J8" s="26">
        <v>-2.4511030589278001E-2</v>
      </c>
      <c r="L8" s="22">
        <v>43616</v>
      </c>
      <c r="M8" s="25">
        <v>-6.7804129999999999E-4</v>
      </c>
      <c r="N8" s="25">
        <v>7.0385227E-3</v>
      </c>
      <c r="O8" s="25">
        <v>1.4759133299999999E-2</v>
      </c>
      <c r="P8" s="25">
        <v>-1.6243493899999999E-2</v>
      </c>
      <c r="Q8" s="25">
        <v>-5.9758691699999998E-2</v>
      </c>
      <c r="R8" s="25">
        <v>-8.4531188800000004E-2</v>
      </c>
      <c r="S8" s="25">
        <v>-5.2715753999999997E-2</v>
      </c>
      <c r="T8" s="25">
        <v>3.7389782000000001E-3</v>
      </c>
      <c r="U8" s="25">
        <v>-3.90625E-3</v>
      </c>
      <c r="W8" s="25">
        <v>-6.135E-4</v>
      </c>
      <c r="X8" s="71"/>
      <c r="Y8" s="71"/>
    </row>
    <row r="9" spans="1:41" x14ac:dyDescent="0.2">
      <c r="A9" s="22">
        <v>43646</v>
      </c>
      <c r="B9" s="26">
        <v>-5.1999999999999998E-3</v>
      </c>
      <c r="C9" s="26">
        <v>4.1999999999999997E-3</v>
      </c>
      <c r="D9" s="26">
        <v>3.0189758392128001E-2</v>
      </c>
      <c r="E9" s="26">
        <v>3.78E-2</v>
      </c>
      <c r="F9" s="26">
        <v>5.62E-2</v>
      </c>
      <c r="G9" s="26">
        <v>2.8899999999999999E-2</v>
      </c>
      <c r="H9" s="26">
        <v>-7.3927970000000004E-3</v>
      </c>
      <c r="I9" s="26">
        <v>3.3999999999999998E-3</v>
      </c>
      <c r="J9" s="26">
        <v>3.5953016803848999E-3</v>
      </c>
      <c r="L9" s="22">
        <v>43646</v>
      </c>
      <c r="M9" s="25">
        <v>-6.5333959999999995E-4</v>
      </c>
      <c r="N9" s="25">
        <v>1.8788515999999999E-3</v>
      </c>
      <c r="O9" s="25">
        <v>1.10999194E-2</v>
      </c>
      <c r="P9" s="25">
        <v>3.7493048700000003E-2</v>
      </c>
      <c r="Q9" s="25">
        <v>5.6043464699999997E-2</v>
      </c>
      <c r="R9" s="25">
        <v>2.9827847500000001E-2</v>
      </c>
      <c r="S9" s="25">
        <v>4.5656275699999999E-2</v>
      </c>
      <c r="T9" s="25">
        <v>3.4879202999999999E-3</v>
      </c>
      <c r="U9" s="25">
        <v>7.9959256000000003E-3</v>
      </c>
      <c r="W9" s="25">
        <v>-6.1233329999999995E-4</v>
      </c>
      <c r="X9" s="71"/>
      <c r="Y9" s="71"/>
    </row>
    <row r="10" spans="1:41" x14ac:dyDescent="0.2">
      <c r="A10" s="22">
        <v>43677</v>
      </c>
      <c r="B10" s="26">
        <v>-5.0000000000000001E-4</v>
      </c>
      <c r="C10" s="26">
        <v>1.5100000000000001E-2</v>
      </c>
      <c r="D10" s="26">
        <v>1.0704691688573E-2</v>
      </c>
      <c r="E10" s="26">
        <v>7.4000000000000003E-3</v>
      </c>
      <c r="F10" s="26">
        <v>9.7999999999999997E-3</v>
      </c>
      <c r="G10" s="26">
        <v>2.5999999999999999E-3</v>
      </c>
      <c r="H10" s="26">
        <v>1.5047329E-2</v>
      </c>
      <c r="I10" s="26">
        <v>3.3999999999999998E-3</v>
      </c>
      <c r="J10" s="26">
        <v>6.4081417295546996E-3</v>
      </c>
      <c r="L10" s="22">
        <v>43677</v>
      </c>
      <c r="M10" s="25">
        <v>-6.7720849999999995E-4</v>
      </c>
      <c r="N10" s="25">
        <v>7.8763784E-3</v>
      </c>
      <c r="O10" s="25">
        <v>4.9914369E-3</v>
      </c>
      <c r="P10" s="25">
        <v>7.2695364000000002E-3</v>
      </c>
      <c r="Q10" s="25">
        <v>9.8629023999999999E-3</v>
      </c>
      <c r="R10" s="25">
        <v>2.9681937999999999E-3</v>
      </c>
      <c r="S10" s="25">
        <v>2.6987169799999999E-2</v>
      </c>
      <c r="T10" s="25">
        <v>3.8931278E-3</v>
      </c>
      <c r="U10" s="25">
        <v>8.7914308999999993E-3</v>
      </c>
      <c r="W10" s="25">
        <v>-6.1441670000000003E-4</v>
      </c>
      <c r="X10" s="71"/>
      <c r="Y10" s="71"/>
    </row>
    <row r="11" spans="1:41" x14ac:dyDescent="0.2">
      <c r="A11" s="22">
        <v>43708</v>
      </c>
      <c r="B11" s="26">
        <v>-5.9999999999999995E-4</v>
      </c>
      <c r="C11" s="26">
        <v>2.3599999999999999E-2</v>
      </c>
      <c r="D11" s="26">
        <v>4.2544269801043999E-3</v>
      </c>
      <c r="E11" s="26">
        <v>-2.9999999999999997E-4</v>
      </c>
      <c r="F11" s="26">
        <v>-2.2499999999999999E-2</v>
      </c>
      <c r="G11" s="26">
        <v>-5.0200000000000002E-2</v>
      </c>
      <c r="H11" s="26">
        <v>7.2440679999999998E-4</v>
      </c>
      <c r="I11" s="26">
        <v>3.3999999999999998E-3</v>
      </c>
      <c r="J11" s="26">
        <v>1.1801234828095E-2</v>
      </c>
      <c r="L11" s="22">
        <v>43708</v>
      </c>
      <c r="M11" s="25">
        <v>-7.0981319999999996E-4</v>
      </c>
      <c r="N11" s="25">
        <v>8.1125334999999996E-3</v>
      </c>
      <c r="O11" s="25">
        <v>2.60398196E-2</v>
      </c>
      <c r="P11" s="25">
        <v>-2.925952E-4</v>
      </c>
      <c r="Q11" s="25">
        <v>-2.23681196E-2</v>
      </c>
      <c r="R11" s="25">
        <v>-4.9284746999999997E-2</v>
      </c>
      <c r="S11" s="25">
        <v>-1.0478239999999999E-3</v>
      </c>
      <c r="T11" s="25">
        <v>3.7444203000000001E-3</v>
      </c>
      <c r="U11" s="25">
        <v>1.82309927E-2</v>
      </c>
      <c r="W11" s="25">
        <v>-6.1891669999999998E-4</v>
      </c>
      <c r="X11" s="71"/>
      <c r="Y11" s="71"/>
    </row>
    <row r="12" spans="1:41" x14ac:dyDescent="0.2">
      <c r="A12" s="22">
        <v>43738</v>
      </c>
      <c r="B12" s="26">
        <v>-8.9999999999999998E-4</v>
      </c>
      <c r="C12" s="26">
        <v>-1.9099999999999999E-2</v>
      </c>
      <c r="D12" s="26">
        <v>-7.9212612784196994E-3</v>
      </c>
      <c r="E12" s="26">
        <v>1.4200000000000001E-2</v>
      </c>
      <c r="F12" s="26">
        <v>2.1399999999999999E-2</v>
      </c>
      <c r="G12" s="26">
        <v>2.7099999999999999E-2</v>
      </c>
      <c r="H12" s="26">
        <v>4.20286177E-2</v>
      </c>
      <c r="I12" s="26">
        <v>3.3999999999999998E-3</v>
      </c>
      <c r="J12" s="26">
        <v>1.6775616746712001E-2</v>
      </c>
      <c r="L12" s="22">
        <v>43738</v>
      </c>
      <c r="M12" s="25">
        <v>-7.4509429999999996E-4</v>
      </c>
      <c r="N12" s="25">
        <v>-1.1074197100000001E-2</v>
      </c>
      <c r="O12" s="25">
        <v>-8.8296000999999995E-3</v>
      </c>
      <c r="P12" s="25">
        <v>1.4278346900000001E-2</v>
      </c>
      <c r="Q12" s="25">
        <v>2.1553657E-2</v>
      </c>
      <c r="R12" s="25">
        <v>2.7019877500000001E-2</v>
      </c>
      <c r="S12" s="25">
        <v>2.9634236599999999E-2</v>
      </c>
      <c r="T12" s="25">
        <v>5.9245594000000004E-3</v>
      </c>
      <c r="U12" s="25">
        <v>2.51352681E-2</v>
      </c>
      <c r="W12" s="25">
        <v>-6.134167E-4</v>
      </c>
      <c r="X12" s="71"/>
      <c r="Y12" s="71"/>
    </row>
    <row r="13" spans="1:41" x14ac:dyDescent="0.2">
      <c r="A13" s="22">
        <v>43769</v>
      </c>
      <c r="B13" s="26">
        <v>-6.9999999999999999E-4</v>
      </c>
      <c r="C13" s="26">
        <v>-1.6299999999999999E-2</v>
      </c>
      <c r="D13" s="26">
        <v>3.0833443434685998E-5</v>
      </c>
      <c r="E13" s="26">
        <v>8.5000000000000006E-3</v>
      </c>
      <c r="F13" s="26">
        <v>1.6799999999999999E-2</v>
      </c>
      <c r="G13" s="26">
        <v>3.2199999999999999E-2</v>
      </c>
      <c r="H13" s="26">
        <v>-1.07594483E-2</v>
      </c>
      <c r="I13" s="26">
        <v>3.3999999999999998E-3</v>
      </c>
      <c r="J13" s="26">
        <v>4.4726026066758996E-3</v>
      </c>
      <c r="L13" s="22">
        <v>43769</v>
      </c>
      <c r="M13" s="25">
        <v>-8.013343E-4</v>
      </c>
      <c r="N13" s="25">
        <v>-7.8387457999999997E-3</v>
      </c>
      <c r="O13" s="25">
        <v>-6.7994626999999998E-3</v>
      </c>
      <c r="P13" s="25">
        <v>8.4949641000000003E-3</v>
      </c>
      <c r="Q13" s="25">
        <v>1.6858099000000001E-2</v>
      </c>
      <c r="R13" s="25">
        <v>3.1297891199999997E-2</v>
      </c>
      <c r="S13" s="25">
        <v>1.88825559E-2</v>
      </c>
      <c r="T13" s="25">
        <v>3.5520002000000001E-3</v>
      </c>
      <c r="U13" s="25">
        <v>1.6985749200000001E-2</v>
      </c>
      <c r="W13" s="25">
        <v>-6.1441670000000003E-4</v>
      </c>
      <c r="X13" s="71"/>
      <c r="Y13" s="71"/>
    </row>
    <row r="14" spans="1:41" x14ac:dyDescent="0.2">
      <c r="A14" s="22">
        <v>43799</v>
      </c>
      <c r="B14" s="26">
        <v>-4.0000000000000002E-4</v>
      </c>
      <c r="C14" s="26">
        <v>8.0000000000000002E-3</v>
      </c>
      <c r="D14" s="26">
        <v>-5.8873587815114004E-3</v>
      </c>
      <c r="E14" s="26">
        <v>2.75E-2</v>
      </c>
      <c r="F14" s="26">
        <v>3.0200000000000001E-2</v>
      </c>
      <c r="G14" s="26">
        <v>1.12E-2</v>
      </c>
      <c r="H14" s="26">
        <v>1.2698972100000001E-2</v>
      </c>
      <c r="I14" s="26">
        <v>3.3999999999999998E-3</v>
      </c>
      <c r="J14" s="26">
        <v>-2.6504667022623002E-3</v>
      </c>
      <c r="L14" s="22">
        <v>43799</v>
      </c>
      <c r="M14" s="25">
        <v>-7.7237089999999996E-4</v>
      </c>
      <c r="N14" s="25">
        <v>3.8374718000000001E-3</v>
      </c>
      <c r="O14" s="25">
        <v>-6.3015327999999997E-3</v>
      </c>
      <c r="P14" s="25">
        <v>2.7483069299999999E-2</v>
      </c>
      <c r="Q14" s="25">
        <v>3.0263890799999998E-2</v>
      </c>
      <c r="R14" s="25">
        <v>1.1374488E-2</v>
      </c>
      <c r="S14" s="25">
        <v>3.72339561E-2</v>
      </c>
      <c r="T14" s="25">
        <v>3.7917294999999999E-3</v>
      </c>
      <c r="U14" s="25">
        <v>-9.8608162000000006E-3</v>
      </c>
      <c r="W14" s="25">
        <v>-5.6883330000000003E-4</v>
      </c>
      <c r="X14" s="71"/>
      <c r="Y14" s="71"/>
    </row>
    <row r="15" spans="1:41" x14ac:dyDescent="0.2">
      <c r="A15" s="22">
        <v>43830</v>
      </c>
      <c r="B15" s="26">
        <v>-3.5999999999999999E-3</v>
      </c>
      <c r="C15" s="26">
        <v>-1.15E-2</v>
      </c>
      <c r="D15" s="26">
        <v>1.7773747344313001E-2</v>
      </c>
      <c r="E15" s="26">
        <v>1.2699999999999999E-2</v>
      </c>
      <c r="F15" s="26">
        <v>2.01E-2</v>
      </c>
      <c r="G15" s="26">
        <v>4.1599999999999998E-2</v>
      </c>
      <c r="H15" s="26">
        <v>-3.48459307E-2</v>
      </c>
      <c r="I15" s="26">
        <v>1.61E-2</v>
      </c>
      <c r="J15" s="26">
        <v>-2.2522751511047001E-3</v>
      </c>
      <c r="L15" s="22">
        <v>43830</v>
      </c>
      <c r="M15" s="25">
        <v>-7.3898170000000001E-4</v>
      </c>
      <c r="N15" s="25">
        <v>-5.7716813000000004E-3</v>
      </c>
      <c r="O15" s="25">
        <v>-8.7916347000000002E-3</v>
      </c>
      <c r="P15" s="25">
        <v>1.27318239E-2</v>
      </c>
      <c r="Q15" s="25">
        <v>2.0315426399999999E-2</v>
      </c>
      <c r="R15" s="25">
        <v>4.1271055199999997E-2</v>
      </c>
      <c r="S15" s="25">
        <v>8.0610526999999998E-3</v>
      </c>
      <c r="T15" s="25">
        <v>9.3009384000000001E-3</v>
      </c>
      <c r="U15" s="25">
        <v>-3.4308587E-3</v>
      </c>
      <c r="W15" s="25">
        <v>-5.8508330000000002E-4</v>
      </c>
      <c r="X15" s="71"/>
      <c r="Y15" s="71"/>
    </row>
    <row r="16" spans="1:41" x14ac:dyDescent="0.2">
      <c r="A16" s="22">
        <v>43861</v>
      </c>
      <c r="B16" s="26">
        <v>-1.1999999999999999E-3</v>
      </c>
      <c r="C16" s="26">
        <v>2.2100000000000002E-2</v>
      </c>
      <c r="D16" s="26">
        <v>1.2416093015908999E-2</v>
      </c>
      <c r="E16" s="26">
        <v>2.5999999999999999E-3</v>
      </c>
      <c r="F16" s="26">
        <v>-4.8999999999999998E-3</v>
      </c>
      <c r="G16" s="26">
        <v>-5.3699999999999998E-2</v>
      </c>
      <c r="H16" s="26">
        <v>-4.2856042999999998E-3</v>
      </c>
      <c r="I16" s="26">
        <v>3.3E-3</v>
      </c>
      <c r="J16" s="26">
        <v>9.7546411125876992E-3</v>
      </c>
      <c r="L16" s="22">
        <v>43861</v>
      </c>
      <c r="M16" s="25">
        <v>-7.1162150000000002E-4</v>
      </c>
      <c r="N16" s="25">
        <v>9.8763571000000001E-3</v>
      </c>
      <c r="O16" s="25">
        <v>2.0352113099999999E-2</v>
      </c>
      <c r="P16" s="25">
        <v>2.6087634000000002E-3</v>
      </c>
      <c r="Q16" s="25">
        <v>-4.4817449999999997E-3</v>
      </c>
      <c r="R16" s="25">
        <v>-5.0454773600000002E-2</v>
      </c>
      <c r="S16" s="25">
        <v>1.6060696400000001E-2</v>
      </c>
      <c r="T16" s="25">
        <v>3.2476914000000002E-3</v>
      </c>
      <c r="U16" s="25">
        <v>1.13799369E-2</v>
      </c>
      <c r="W16" s="25">
        <v>-5.8549999999999997E-4</v>
      </c>
      <c r="X16" s="71"/>
      <c r="Y16" s="71"/>
    </row>
    <row r="17" spans="1:25" x14ac:dyDescent="0.2">
      <c r="A17" s="22">
        <v>43890</v>
      </c>
      <c r="B17" s="26">
        <v>-1.6000000000000001E-3</v>
      </c>
      <c r="C17" s="26">
        <v>8.6E-3</v>
      </c>
      <c r="D17" s="26">
        <v>-1.0441160770657E-2</v>
      </c>
      <c r="E17" s="26">
        <v>-7.5399999999999995E-2</v>
      </c>
      <c r="F17" s="26">
        <v>-8.2600000000000007E-2</v>
      </c>
      <c r="G17" s="26">
        <v>-4.6800000000000001E-2</v>
      </c>
      <c r="H17" s="26">
        <v>2.2336385999999998E-3</v>
      </c>
      <c r="I17" s="26">
        <v>3.3999999999999998E-3</v>
      </c>
      <c r="J17" s="26">
        <v>3.4996617866659002E-2</v>
      </c>
      <c r="L17" s="22">
        <v>43890</v>
      </c>
      <c r="M17" s="25">
        <v>-6.5365690000000005E-4</v>
      </c>
      <c r="N17" s="25">
        <v>3.5834267E-3</v>
      </c>
      <c r="O17" s="25">
        <v>1.39788573E-2</v>
      </c>
      <c r="P17" s="25">
        <v>-7.5615007100000006E-2</v>
      </c>
      <c r="Q17" s="25">
        <v>-8.2649383199999996E-2</v>
      </c>
      <c r="R17" s="25">
        <v>-4.9295860400000002E-2</v>
      </c>
      <c r="S17" s="25">
        <v>-0.1007354952</v>
      </c>
      <c r="T17" s="25">
        <v>3.2286797000000002E-3</v>
      </c>
      <c r="U17" s="25">
        <v>-7.9094175500000002E-2</v>
      </c>
      <c r="W17" s="25">
        <v>-5.9158330000000001E-4</v>
      </c>
      <c r="X17" s="71"/>
      <c r="Y17" s="71"/>
    </row>
    <row r="18" spans="1:25" x14ac:dyDescent="0.2">
      <c r="A18" s="22">
        <v>43921</v>
      </c>
      <c r="B18" s="26">
        <v>4.3E-3</v>
      </c>
      <c r="C18" s="26">
        <v>-4.9099999999999998E-2</v>
      </c>
      <c r="D18" s="26">
        <v>-0.13456302241692999</v>
      </c>
      <c r="E18" s="26">
        <v>-4.82E-2</v>
      </c>
      <c r="F18" s="26">
        <v>-0.13139999999999999</v>
      </c>
      <c r="G18" s="26">
        <v>-0.1532</v>
      </c>
      <c r="H18" s="26">
        <v>5.3470710300000002E-2</v>
      </c>
      <c r="I18" s="26">
        <v>3.3999999999999998E-3</v>
      </c>
      <c r="J18" s="26">
        <v>-3.9553082717323003E-2</v>
      </c>
      <c r="L18" s="22">
        <v>43921</v>
      </c>
      <c r="M18" s="25">
        <v>-7.2918630000000004E-4</v>
      </c>
      <c r="N18" s="25">
        <v>-3.9872052400000003E-2</v>
      </c>
      <c r="O18" s="25">
        <v>-1.5054806E-3</v>
      </c>
      <c r="P18" s="25">
        <v>-4.8598264400000001E-2</v>
      </c>
      <c r="Q18" s="25">
        <v>-0.131425071</v>
      </c>
      <c r="R18" s="25">
        <v>-0.15437108869999999</v>
      </c>
      <c r="S18" s="25">
        <v>-0.257102108</v>
      </c>
      <c r="T18" s="25">
        <v>5.2998524999999996E-3</v>
      </c>
      <c r="U18" s="25">
        <v>-0.22177729860000001</v>
      </c>
      <c r="W18" s="25">
        <v>-5.8583330000000001E-4</v>
      </c>
      <c r="X18" s="71"/>
      <c r="Y18" s="71"/>
    </row>
    <row r="19" spans="1:25" x14ac:dyDescent="0.2">
      <c r="A19" s="22">
        <v>43951</v>
      </c>
      <c r="B19" s="26">
        <v>-4.0000000000000002E-4</v>
      </c>
      <c r="C19" s="26">
        <v>1.7600000000000001E-2</v>
      </c>
      <c r="D19" s="26">
        <v>2.3531771252187E-2</v>
      </c>
      <c r="E19" s="26">
        <v>5.1900000000000002E-2</v>
      </c>
      <c r="F19" s="26">
        <v>0.1051</v>
      </c>
      <c r="G19" s="26">
        <v>8.8499999999999995E-2</v>
      </c>
      <c r="H19" s="26">
        <v>-2.9617574999999999E-3</v>
      </c>
      <c r="I19" s="26">
        <v>3.3999999999999998E-3</v>
      </c>
      <c r="J19" s="26">
        <v>-2.6981647152951999E-2</v>
      </c>
      <c r="L19" s="22">
        <v>43951</v>
      </c>
      <c r="M19" s="25">
        <v>-6.4757050000000004E-4</v>
      </c>
      <c r="N19" s="25">
        <v>1.23963741E-2</v>
      </c>
      <c r="O19" s="25">
        <v>7.4080925000000004E-3</v>
      </c>
      <c r="P19" s="25">
        <v>5.1796274400000002E-2</v>
      </c>
      <c r="Q19" s="25">
        <v>0.1057895749</v>
      </c>
      <c r="R19" s="25">
        <v>8.8864792100000006E-2</v>
      </c>
      <c r="S19" s="25">
        <v>0.1227602401</v>
      </c>
      <c r="T19" s="25">
        <v>3.7575196000000002E-3</v>
      </c>
      <c r="U19" s="25">
        <v>6.4582096399999997E-2</v>
      </c>
      <c r="W19" s="25">
        <v>-5.4900000000000001E-4</v>
      </c>
      <c r="X19" s="71"/>
      <c r="Y19" s="71"/>
    </row>
    <row r="20" spans="1:25" x14ac:dyDescent="0.2">
      <c r="A20" s="22">
        <v>43982</v>
      </c>
      <c r="B20" s="26">
        <v>-3.0000000000000001E-3</v>
      </c>
      <c r="C20" s="26">
        <v>-2.9999999999999997E-4</v>
      </c>
      <c r="D20" s="26">
        <v>5.5933928131259997E-2</v>
      </c>
      <c r="E20" s="26">
        <v>2.8500000000000001E-2</v>
      </c>
      <c r="F20" s="26">
        <v>4.7199999999999999E-2</v>
      </c>
      <c r="G20" s="26">
        <v>3.5999999999999999E-3</v>
      </c>
      <c r="H20" s="26">
        <v>-4.5945680999999999E-3</v>
      </c>
      <c r="I20" s="26">
        <v>3.3999999999999998E-3</v>
      </c>
      <c r="J20" s="26">
        <v>1.9596106727587E-2</v>
      </c>
      <c r="L20" s="22">
        <v>43982</v>
      </c>
      <c r="M20" s="25">
        <v>-5.6578889999999999E-4</v>
      </c>
      <c r="N20" s="25">
        <v>2.2193311000000002E-3</v>
      </c>
      <c r="O20" s="25">
        <v>-2.1737663999999999E-3</v>
      </c>
      <c r="P20" s="25">
        <v>2.8574188300000001E-2</v>
      </c>
      <c r="Q20" s="25">
        <v>4.7138632799999997E-2</v>
      </c>
      <c r="R20" s="25">
        <v>3.036291E-3</v>
      </c>
      <c r="S20" s="25">
        <v>8.0375387300000004E-2</v>
      </c>
      <c r="T20" s="25">
        <v>4.2208399000000004E-3</v>
      </c>
      <c r="U20" s="25">
        <v>1.2393109000000001E-3</v>
      </c>
      <c r="W20" s="25">
        <v>-5.4908330000000001E-4</v>
      </c>
      <c r="X20" s="71"/>
      <c r="Y20" s="71"/>
    </row>
    <row r="21" spans="1:25" x14ac:dyDescent="0.2">
      <c r="A21" s="22">
        <v>44012</v>
      </c>
      <c r="B21" s="26">
        <v>-2.3E-3</v>
      </c>
      <c r="C21" s="26">
        <v>4.0000000000000002E-4</v>
      </c>
      <c r="D21" s="26">
        <v>3.0609450194009E-2</v>
      </c>
      <c r="E21" s="26">
        <v>1.5599999999999999E-2</v>
      </c>
      <c r="F21" s="26">
        <v>2.3E-2</v>
      </c>
      <c r="G21" s="26">
        <v>5.8999999999999997E-2</v>
      </c>
      <c r="H21" s="26">
        <v>-9.7775737299999999E-2</v>
      </c>
      <c r="I21" s="26">
        <v>3.3999999999999998E-3</v>
      </c>
      <c r="J21" s="26">
        <v>-1.4561791536192E-2</v>
      </c>
      <c r="L21" s="22">
        <v>44012</v>
      </c>
      <c r="M21" s="25">
        <v>-4.9786109999999998E-4</v>
      </c>
      <c r="N21" s="25">
        <v>2.9016494000000002E-3</v>
      </c>
      <c r="O21" s="25">
        <v>2.127749E-3</v>
      </c>
      <c r="P21" s="25">
        <v>1.55135738E-2</v>
      </c>
      <c r="Q21" s="25">
        <v>2.2812846099999999E-2</v>
      </c>
      <c r="R21" s="25">
        <v>5.8814889600000003E-2</v>
      </c>
      <c r="S21" s="25">
        <v>1.85598547E-2</v>
      </c>
      <c r="T21" s="25">
        <v>3.2693118999999999E-3</v>
      </c>
      <c r="U21" s="25">
        <v>2.25894294E-2</v>
      </c>
      <c r="W21" s="25">
        <v>-5.5083330000000002E-4</v>
      </c>
      <c r="X21" s="71"/>
      <c r="Y21" s="71"/>
    </row>
    <row r="22" spans="1:25" x14ac:dyDescent="0.2">
      <c r="A22" s="22">
        <v>44043</v>
      </c>
      <c r="B22" s="26">
        <v>-8.8000000000000005E-3</v>
      </c>
      <c r="C22" s="26">
        <v>1.01E-2</v>
      </c>
      <c r="D22" s="26">
        <v>3.3903807066373998E-2</v>
      </c>
      <c r="E22" s="26">
        <v>-2.2000000000000001E-3</v>
      </c>
      <c r="F22" s="26">
        <v>3.2800000000000003E-2</v>
      </c>
      <c r="G22" s="26">
        <v>4.6600000000000003E-2</v>
      </c>
      <c r="H22" s="26">
        <v>-3.9346824900000001E-2</v>
      </c>
      <c r="I22" s="26">
        <v>3.3999999999999998E-3</v>
      </c>
      <c r="J22" s="26">
        <v>-9.7949671878429009E-3</v>
      </c>
      <c r="L22" s="22">
        <v>44043</v>
      </c>
      <c r="M22" s="25">
        <v>-5.68142E-4</v>
      </c>
      <c r="N22" s="25">
        <v>5.4058170000000003E-3</v>
      </c>
      <c r="O22" s="25">
        <v>8.6610981000000004E-3</v>
      </c>
      <c r="P22" s="25">
        <v>-2.3029857999999999E-3</v>
      </c>
      <c r="Q22" s="25">
        <v>3.2644001700000001E-2</v>
      </c>
      <c r="R22" s="25">
        <v>4.5845926299999999E-2</v>
      </c>
      <c r="S22" s="25">
        <v>-4.4178161000000002E-3</v>
      </c>
      <c r="T22" s="25">
        <v>3.4310317E-3</v>
      </c>
      <c r="U22" s="25">
        <v>1.22859045E-2</v>
      </c>
      <c r="W22" s="25">
        <v>-5.7066669999999997E-4</v>
      </c>
      <c r="X22" s="71"/>
      <c r="Y22" s="71"/>
    </row>
    <row r="23" spans="1:25" x14ac:dyDescent="0.2">
      <c r="A23" s="22">
        <v>44074</v>
      </c>
      <c r="B23" s="26">
        <v>-1.1000000000000001E-3</v>
      </c>
      <c r="C23" s="26">
        <v>-1.01E-2</v>
      </c>
      <c r="D23" s="26">
        <v>5.0305894973976997E-3</v>
      </c>
      <c r="E23" s="26">
        <v>1.9800000000000002E-2</v>
      </c>
      <c r="F23" s="26">
        <v>6.2700000000000006E-2</v>
      </c>
      <c r="G23" s="26">
        <v>1.2200000000000001E-2</v>
      </c>
      <c r="H23" s="26">
        <v>-1.06794557E-2</v>
      </c>
      <c r="I23" s="26">
        <v>3.3999999999999998E-3</v>
      </c>
      <c r="J23" s="26">
        <v>7.5217152287474004E-3</v>
      </c>
      <c r="L23" s="22">
        <v>44074</v>
      </c>
      <c r="M23" s="25">
        <v>-6.4904860000000004E-4</v>
      </c>
      <c r="N23" s="25">
        <v>-2.4990533999999999E-3</v>
      </c>
      <c r="O23" s="25">
        <v>-1.09734416E-2</v>
      </c>
      <c r="P23" s="25">
        <v>2.0266953800000001E-2</v>
      </c>
      <c r="Q23" s="25">
        <v>6.2909567499999999E-2</v>
      </c>
      <c r="R23" s="25">
        <v>1.1712592799999999E-2</v>
      </c>
      <c r="S23" s="25">
        <v>2.3725288099999998E-2</v>
      </c>
      <c r="T23" s="25">
        <v>3.6455160000000001E-3</v>
      </c>
      <c r="U23" s="25">
        <v>2.03874208E-2</v>
      </c>
      <c r="W23" s="25">
        <v>-5.8683330000000003E-4</v>
      </c>
      <c r="X23" s="71"/>
      <c r="Y23" s="71"/>
    </row>
    <row r="24" spans="1:25" x14ac:dyDescent="0.2">
      <c r="A24" s="22">
        <v>44104</v>
      </c>
      <c r="B24" s="26">
        <v>0</v>
      </c>
      <c r="C24" s="26">
        <v>8.8999999999999999E-3</v>
      </c>
      <c r="D24" s="26">
        <v>-2.0614506400846999E-2</v>
      </c>
      <c r="E24" s="26">
        <v>5.3E-3</v>
      </c>
      <c r="F24" s="26">
        <v>-3.1199999999999999E-2</v>
      </c>
      <c r="G24" s="26">
        <v>4.0000000000000001E-3</v>
      </c>
      <c r="H24" s="26">
        <v>9.1329789300000006E-2</v>
      </c>
      <c r="I24" s="26">
        <v>3.3999999999999998E-3</v>
      </c>
      <c r="J24" s="26">
        <v>2.9292128007885E-4</v>
      </c>
      <c r="L24" s="22">
        <v>44104</v>
      </c>
      <c r="M24" s="25">
        <v>-6.4771719999999998E-4</v>
      </c>
      <c r="N24" s="25">
        <v>4.3273610999999997E-3</v>
      </c>
      <c r="O24" s="25">
        <v>6.7710523999999998E-3</v>
      </c>
      <c r="P24" s="25">
        <v>5.1979445000000001E-3</v>
      </c>
      <c r="Q24" s="25">
        <v>-3.1220715199999999E-2</v>
      </c>
      <c r="R24" s="25">
        <v>3.9572749000000001E-3</v>
      </c>
      <c r="S24" s="25">
        <v>-1.71656694E-2</v>
      </c>
      <c r="T24" s="25">
        <v>4.9793453999999997E-3</v>
      </c>
      <c r="U24" s="25">
        <v>-2.5136227800000001E-2</v>
      </c>
      <c r="W24" s="25">
        <v>-5.9049999999999999E-4</v>
      </c>
      <c r="X24" s="71"/>
      <c r="Y24" s="71"/>
    </row>
    <row r="25" spans="1:25" x14ac:dyDescent="0.2">
      <c r="A25" s="22">
        <v>44135</v>
      </c>
      <c r="B25" s="26">
        <v>-1E-3</v>
      </c>
      <c r="C25" s="26">
        <v>1.1000000000000001E-3</v>
      </c>
      <c r="D25" s="26">
        <v>3.5446734015342999E-5</v>
      </c>
      <c r="E25" s="26">
        <v>-5.74E-2</v>
      </c>
      <c r="F25" s="26">
        <v>-0.03</v>
      </c>
      <c r="G25" s="26">
        <v>1.8100000000000002E-2</v>
      </c>
      <c r="H25" s="26">
        <v>-2.7159629E-3</v>
      </c>
      <c r="I25" s="26">
        <v>3.3999999999999998E-3</v>
      </c>
      <c r="J25" s="26">
        <v>-1.2053737344956E-2</v>
      </c>
      <c r="L25" s="22">
        <v>44135</v>
      </c>
      <c r="M25" s="25">
        <v>-6.8146479999999995E-4</v>
      </c>
      <c r="N25" s="25">
        <v>1.5118301000000001E-3</v>
      </c>
      <c r="O25" s="25">
        <v>-1.4925698000000001E-3</v>
      </c>
      <c r="P25" s="25">
        <v>-5.73862542E-2</v>
      </c>
      <c r="Q25" s="25">
        <v>-3.0292230900000001E-2</v>
      </c>
      <c r="R25" s="25">
        <v>1.81591433E-2</v>
      </c>
      <c r="S25" s="25">
        <v>-3.8552060499999999E-2</v>
      </c>
      <c r="T25" s="25">
        <v>2.8900162000000001E-3</v>
      </c>
      <c r="U25" s="25">
        <v>-3.3477581399999998E-2</v>
      </c>
      <c r="W25" s="25">
        <v>-5.9683329999999995E-4</v>
      </c>
      <c r="X25" s="71"/>
      <c r="Y25" s="71"/>
    </row>
    <row r="26" spans="1:25" x14ac:dyDescent="0.2">
      <c r="A26" s="22">
        <v>44165</v>
      </c>
      <c r="B26" s="26">
        <v>-3.3999999999999998E-3</v>
      </c>
      <c r="C26" s="26">
        <v>2.0000000000000001E-4</v>
      </c>
      <c r="D26" s="26">
        <v>3.7266244612666997E-2</v>
      </c>
      <c r="E26" s="26">
        <v>8.43E-2</v>
      </c>
      <c r="F26" s="26">
        <v>0.11990000000000001</v>
      </c>
      <c r="G26" s="26">
        <v>7.9000000000000001E-2</v>
      </c>
      <c r="H26" s="26">
        <v>-1.22287622E-2</v>
      </c>
      <c r="I26" s="26">
        <v>3.3999999999999998E-3</v>
      </c>
      <c r="J26" s="26">
        <v>-2.5299192260673001E-3</v>
      </c>
      <c r="L26" s="22">
        <v>44165</v>
      </c>
      <c r="M26" s="25">
        <v>-6.5823309999999996E-4</v>
      </c>
      <c r="N26" s="25">
        <v>7.5477390000000001E-4</v>
      </c>
      <c r="O26" s="25">
        <v>9.922933000000001E-4</v>
      </c>
      <c r="P26" s="25">
        <v>8.4120712700000003E-2</v>
      </c>
      <c r="Q26" s="25">
        <v>0.1198088938</v>
      </c>
      <c r="R26" s="25">
        <v>7.9077685199999997E-2</v>
      </c>
      <c r="S26" s="25">
        <v>0.16909874329999999</v>
      </c>
      <c r="T26" s="25">
        <v>3.5283320999999999E-3</v>
      </c>
      <c r="U26" s="25">
        <v>0.12088800449999999</v>
      </c>
      <c r="W26" s="25">
        <v>-5.9975000000000002E-4</v>
      </c>
      <c r="X26" s="71"/>
      <c r="Y26" s="71"/>
    </row>
    <row r="27" spans="1:25" x14ac:dyDescent="0.2">
      <c r="A27" s="22">
        <v>44196</v>
      </c>
      <c r="B27" s="26">
        <v>-5.5999999999999999E-3</v>
      </c>
      <c r="C27" s="26">
        <v>3.8999999999999998E-3</v>
      </c>
      <c r="D27" s="26">
        <v>1.9464790085490999E-2</v>
      </c>
      <c r="E27" s="26">
        <v>2.5000000000000001E-2</v>
      </c>
      <c r="F27" s="26">
        <v>3.39E-2</v>
      </c>
      <c r="G27" s="26">
        <v>4.7800000000000002E-2</v>
      </c>
      <c r="H27" s="26">
        <v>5.7302985899999999E-2</v>
      </c>
      <c r="I27" s="26">
        <v>3.2899999999999999E-2</v>
      </c>
      <c r="J27" s="26">
        <v>3.9319999999999997E-3</v>
      </c>
      <c r="L27" s="22">
        <v>44196</v>
      </c>
      <c r="M27" s="25">
        <v>-6.8413510000000003E-4</v>
      </c>
      <c r="N27" s="25">
        <v>2.6397164E-3</v>
      </c>
      <c r="O27" s="25">
        <v>3.10025E-5</v>
      </c>
      <c r="P27" s="25">
        <v>2.4952685499999998E-2</v>
      </c>
      <c r="Q27" s="25">
        <v>3.3709972300000002E-2</v>
      </c>
      <c r="R27" s="25">
        <v>4.8196440299999997E-2</v>
      </c>
      <c r="S27" s="25">
        <v>6.3785663100000001E-2</v>
      </c>
      <c r="T27" s="25">
        <v>7.9468510999999992E-3</v>
      </c>
      <c r="U27" s="25">
        <v>2.5908460500000001E-2</v>
      </c>
      <c r="W27" s="25">
        <v>-6.0141670000000004E-4</v>
      </c>
      <c r="X27" s="71"/>
      <c r="Y27" s="71"/>
    </row>
    <row r="28" spans="1:25" x14ac:dyDescent="0.2">
      <c r="A28" s="22">
        <v>44227</v>
      </c>
      <c r="B28" s="26">
        <v>1E-3</v>
      </c>
      <c r="C28" s="26">
        <v>-4.4000000000000003E-3</v>
      </c>
      <c r="D28" s="26">
        <v>-1.1966505327230001E-2</v>
      </c>
      <c r="E28" s="26">
        <v>-1.0200000000000001E-2</v>
      </c>
      <c r="F28" s="26">
        <v>-8.0999999999999996E-3</v>
      </c>
      <c r="G28" s="26">
        <v>3.5200000000000002E-2</v>
      </c>
      <c r="H28" s="26">
        <v>5.9538804999999997E-3</v>
      </c>
      <c r="I28" s="26">
        <v>3.0000000000000001E-3</v>
      </c>
      <c r="J28" s="26">
        <v>-3.3306690738755002E-16</v>
      </c>
      <c r="L28" s="22">
        <v>44227</v>
      </c>
      <c r="M28" s="25">
        <v>-6.5999639999999996E-4</v>
      </c>
      <c r="N28" s="25">
        <v>0</v>
      </c>
      <c r="O28" s="25">
        <v>-8.4736249000000007E-3</v>
      </c>
      <c r="P28" s="25">
        <v>-1.01253913E-2</v>
      </c>
      <c r="Q28" s="25">
        <v>-8.3907836999999996E-3</v>
      </c>
      <c r="R28" s="25">
        <v>3.7246404099999998E-2</v>
      </c>
      <c r="S28" s="25">
        <v>2.4981143599999998E-2</v>
      </c>
      <c r="T28" s="25">
        <v>3.8992134E-3</v>
      </c>
      <c r="U28" s="25">
        <v>-5.6781310999999999E-3</v>
      </c>
      <c r="W28" s="25">
        <v>-6.0408330000000004E-4</v>
      </c>
      <c r="X28" s="71"/>
      <c r="Y28" s="71"/>
    </row>
    <row r="29" spans="1:25" x14ac:dyDescent="0.2">
      <c r="A29" s="22">
        <v>44255</v>
      </c>
      <c r="B29" s="26">
        <v>1.1000000000000001E-3</v>
      </c>
      <c r="C29" s="26">
        <v>-1.6299999999999999E-2</v>
      </c>
      <c r="D29" s="26">
        <v>-2.2460000000000001E-2</v>
      </c>
      <c r="E29" s="26">
        <v>-4.4000000000000003E-3</v>
      </c>
      <c r="F29" s="26">
        <v>2.7E-2</v>
      </c>
      <c r="G29" s="26">
        <v>2.6499999999999999E-2</v>
      </c>
      <c r="H29" s="26">
        <v>1.7538880199999999E-2</v>
      </c>
      <c r="I29" s="26">
        <v>3.0000000000000001E-3</v>
      </c>
      <c r="J29" s="26">
        <v>3.2532907856917002E-2</v>
      </c>
      <c r="L29" s="22">
        <v>44255</v>
      </c>
      <c r="M29" s="25">
        <v>-6.120651E-4</v>
      </c>
      <c r="N29" s="25">
        <v>-6.3938618999999997E-3</v>
      </c>
      <c r="O29" s="25">
        <v>-2.28355976E-2</v>
      </c>
      <c r="P29" s="25">
        <v>-4.4379831E-3</v>
      </c>
      <c r="Q29" s="25">
        <v>2.6849014300000001E-2</v>
      </c>
      <c r="R29" s="25">
        <v>2.54318454E-2</v>
      </c>
      <c r="S29" s="25">
        <v>6.4245419600000006E-2</v>
      </c>
      <c r="T29" s="25">
        <v>2.8297104000000002E-3</v>
      </c>
      <c r="U29" s="25">
        <v>3.9701963299999997E-2</v>
      </c>
      <c r="W29" s="25">
        <v>-6.0408330000000004E-4</v>
      </c>
      <c r="X29" s="71"/>
      <c r="Y29" s="71"/>
    </row>
    <row r="30" spans="1:25" x14ac:dyDescent="0.2">
      <c r="A30" s="22">
        <v>44286</v>
      </c>
      <c r="B30" s="26">
        <v>-1.2999999999999999E-3</v>
      </c>
      <c r="C30" s="26">
        <v>5.0000000000000001E-3</v>
      </c>
      <c r="D30" s="26">
        <v>-1.2205493687242001E-2</v>
      </c>
      <c r="E30" s="26">
        <v>6.7000000000000004E-2</v>
      </c>
      <c r="F30" s="26">
        <v>4.1799999999999997E-2</v>
      </c>
      <c r="G30" s="26">
        <v>2.35E-2</v>
      </c>
      <c r="H30" s="26">
        <v>0.16692645950000001</v>
      </c>
      <c r="I30" s="26">
        <v>3.0000000000000001E-3</v>
      </c>
      <c r="J30" s="26">
        <v>-1.2620664374074001E-4</v>
      </c>
      <c r="L30" s="22">
        <v>44286</v>
      </c>
      <c r="M30" s="25">
        <v>-6.8107539999999998E-4</v>
      </c>
      <c r="N30" s="25">
        <v>3.4824741000000002E-3</v>
      </c>
      <c r="O30" s="25">
        <v>-2.9071697000000001E-3</v>
      </c>
      <c r="P30" s="25">
        <v>6.7047702299999998E-2</v>
      </c>
      <c r="Q30" s="25">
        <v>4.1648106900000002E-2</v>
      </c>
      <c r="R30" s="25">
        <v>2.3898310900000001E-2</v>
      </c>
      <c r="S30" s="25">
        <v>0.10426659269999999</v>
      </c>
      <c r="T30" s="25">
        <v>4.6208155000000001E-3</v>
      </c>
      <c r="U30" s="25">
        <v>4.05398337E-2</v>
      </c>
      <c r="W30" s="25">
        <v>-6.0424999999999997E-4</v>
      </c>
      <c r="X30" s="71"/>
      <c r="Y30" s="71"/>
    </row>
    <row r="31" spans="1:25" x14ac:dyDescent="0.2">
      <c r="A31" s="22">
        <v>44316</v>
      </c>
      <c r="B31" s="26">
        <v>-6.1999999999999998E-3</v>
      </c>
      <c r="C31" s="26">
        <v>-1.8E-3</v>
      </c>
      <c r="D31" s="26">
        <v>1.7794013732708999E-2</v>
      </c>
      <c r="E31" s="26">
        <v>1.1599999999999999E-2</v>
      </c>
      <c r="F31" s="26">
        <v>3.9399999999999998E-2</v>
      </c>
      <c r="G31" s="26">
        <v>-8.0999999999999996E-3</v>
      </c>
      <c r="H31" s="26">
        <v>-3.1179915499999999E-2</v>
      </c>
      <c r="I31" s="26">
        <v>3.0000000000000001E-3</v>
      </c>
      <c r="J31" s="26">
        <v>1.1274259865224999E-2</v>
      </c>
      <c r="L31" s="22">
        <v>44316</v>
      </c>
      <c r="M31" s="25">
        <v>-6.9210609999999998E-4</v>
      </c>
      <c r="N31" s="25">
        <v>-9.8076200000000004E-4</v>
      </c>
      <c r="O31" s="25">
        <v>-6.9642239999999995E-4</v>
      </c>
      <c r="P31" s="25">
        <v>1.1708875000000001E-2</v>
      </c>
      <c r="Q31" s="25">
        <v>3.93842207E-2</v>
      </c>
      <c r="R31" s="25">
        <v>-6.7910899999999996E-3</v>
      </c>
      <c r="S31" s="25">
        <v>7.2034389300000001E-2</v>
      </c>
      <c r="T31" s="25">
        <v>2.9361404E-3</v>
      </c>
      <c r="U31" s="25">
        <v>5.5952141599999998E-2</v>
      </c>
      <c r="W31" s="25">
        <v>-6.045E-4</v>
      </c>
      <c r="X31" s="71"/>
      <c r="Y31" s="71"/>
    </row>
    <row r="32" spans="1:25" x14ac:dyDescent="0.2">
      <c r="A32" s="22">
        <v>44347</v>
      </c>
      <c r="B32" s="26">
        <v>-1.1000000000000001E-3</v>
      </c>
      <c r="C32" s="26">
        <v>-3.2000000000000002E-3</v>
      </c>
      <c r="D32" s="26">
        <v>9.4214178298084005E-3</v>
      </c>
      <c r="E32" s="26">
        <v>3.4599999999999999E-2</v>
      </c>
      <c r="F32" s="26">
        <v>9.1000000000000004E-3</v>
      </c>
      <c r="G32" s="26">
        <v>8.8999999999999999E-3</v>
      </c>
      <c r="H32" s="26">
        <v>-1.3889291999999999E-2</v>
      </c>
      <c r="I32" s="26">
        <v>3.0000000000000001E-3</v>
      </c>
      <c r="J32" s="26">
        <v>8.4050335077796995E-3</v>
      </c>
      <c r="L32" s="22">
        <v>44347</v>
      </c>
      <c r="M32" s="25">
        <v>-7.2430689999999995E-4</v>
      </c>
      <c r="N32" s="25">
        <v>-1.5103459999999999E-4</v>
      </c>
      <c r="O32" s="25">
        <v>9.9051059999999999E-4</v>
      </c>
      <c r="P32" s="25">
        <v>3.45494181E-2</v>
      </c>
      <c r="Q32" s="25">
        <v>8.8866945999999999E-3</v>
      </c>
      <c r="R32" s="25">
        <v>8.9424340000000008E-3</v>
      </c>
      <c r="S32" s="25">
        <v>1.97766648E-2</v>
      </c>
      <c r="T32" s="25">
        <v>4.2565538999999996E-3</v>
      </c>
      <c r="U32" s="25">
        <v>1.32349441E-2</v>
      </c>
      <c r="W32" s="25">
        <v>-6.045E-4</v>
      </c>
      <c r="X32" s="71"/>
      <c r="Y32" s="71"/>
    </row>
    <row r="33" spans="1:25" x14ac:dyDescent="0.2">
      <c r="A33" s="22">
        <v>44377</v>
      </c>
      <c r="B33" s="26">
        <v>-4.0000000000000002E-4</v>
      </c>
      <c r="C33" s="26">
        <v>4.4999999999999997E-3</v>
      </c>
      <c r="D33" s="26">
        <v>3.8500000000000001E-3</v>
      </c>
      <c r="E33" s="26">
        <v>4.6199999999999998E-2</v>
      </c>
      <c r="F33" s="26">
        <v>2.23E-2</v>
      </c>
      <c r="G33" s="26">
        <v>2.86E-2</v>
      </c>
      <c r="H33" s="26">
        <v>0.1364338803</v>
      </c>
      <c r="I33" s="26">
        <v>3.0000000000000001E-3</v>
      </c>
      <c r="J33" s="26">
        <v>2.7798617724347E-2</v>
      </c>
      <c r="L33" s="22">
        <v>44377</v>
      </c>
      <c r="M33" s="25">
        <v>-6.9749639999999995E-4</v>
      </c>
      <c r="N33" s="25">
        <v>9.8187309999999989E-4</v>
      </c>
      <c r="O33" s="25">
        <v>4.8259035999999996E-3</v>
      </c>
      <c r="P33" s="25">
        <v>4.6224041299999998E-2</v>
      </c>
      <c r="Q33" s="25">
        <v>2.2347280000000001E-2</v>
      </c>
      <c r="R33" s="25">
        <v>2.9569540799999999E-2</v>
      </c>
      <c r="S33" s="25">
        <v>4.6913361899999999E-2</v>
      </c>
      <c r="T33" s="25">
        <v>4.3285564999999996E-3</v>
      </c>
      <c r="U33" s="25">
        <v>1.8277498499999999E-2</v>
      </c>
      <c r="W33" s="25">
        <v>-6.045833E-4</v>
      </c>
      <c r="X33" s="71"/>
      <c r="Y33" s="71"/>
    </row>
    <row r="34" spans="1:25" x14ac:dyDescent="0.2">
      <c r="A34" s="22">
        <v>44408</v>
      </c>
      <c r="B34" s="26">
        <v>-7.1000000000000004E-3</v>
      </c>
      <c r="C34" s="26">
        <v>1.2699999999999999E-2</v>
      </c>
      <c r="D34" s="26">
        <v>-8.6461844818663998E-4</v>
      </c>
      <c r="E34" s="26">
        <v>1.5100000000000001E-2</v>
      </c>
      <c r="F34" s="26">
        <v>1.61E-2</v>
      </c>
      <c r="G34" s="26">
        <v>-8.5800000000000001E-2</v>
      </c>
      <c r="H34" s="26">
        <v>-1.96205401E-2</v>
      </c>
      <c r="I34" s="26">
        <v>3.0000000000000001E-3</v>
      </c>
      <c r="J34" s="26">
        <v>-6.8208325243592997E-3</v>
      </c>
      <c r="L34" s="22">
        <v>44408</v>
      </c>
      <c r="M34" s="25">
        <v>-6.979833E-4</v>
      </c>
      <c r="N34" s="25">
        <v>5.1309138000000002E-3</v>
      </c>
      <c r="O34" s="25">
        <v>1.3884854E-2</v>
      </c>
      <c r="P34" s="25">
        <v>1.5065436E-2</v>
      </c>
      <c r="Q34" s="25">
        <v>1.62744316E-2</v>
      </c>
      <c r="R34" s="25">
        <v>-8.5512286199999996E-2</v>
      </c>
      <c r="S34" s="25">
        <v>5.4636694999999999E-2</v>
      </c>
      <c r="T34" s="25">
        <v>4.4918244000000003E-3</v>
      </c>
      <c r="U34" s="25">
        <v>3.6960132899999998E-2</v>
      </c>
      <c r="W34" s="25">
        <v>-6.045E-4</v>
      </c>
      <c r="X34" s="71"/>
      <c r="Y34" s="71"/>
    </row>
    <row r="35" spans="1:25" x14ac:dyDescent="0.2">
      <c r="A35" s="22">
        <v>44439</v>
      </c>
      <c r="B35" s="26">
        <v>-1.1000000000000001E-3</v>
      </c>
      <c r="C35" s="26">
        <v>-3.0999999999999999E-3</v>
      </c>
      <c r="D35" s="26">
        <v>9.1242250591952005E-3</v>
      </c>
      <c r="E35" s="26">
        <v>2.3800000000000002E-2</v>
      </c>
      <c r="F35" s="26">
        <v>2.6499999999999999E-2</v>
      </c>
      <c r="G35" s="26">
        <v>3.4099999999999998E-2</v>
      </c>
      <c r="H35" s="26">
        <v>1.05944518E-2</v>
      </c>
      <c r="I35" s="26">
        <v>3.0000000000000001E-3</v>
      </c>
      <c r="J35" s="26">
        <v>4.5700077007424997E-3</v>
      </c>
      <c r="L35" s="22">
        <v>44439</v>
      </c>
      <c r="M35" s="25">
        <v>-6.922896E-4</v>
      </c>
      <c r="N35" s="25">
        <v>-9.7590269999999998E-4</v>
      </c>
      <c r="O35" s="25">
        <v>-3.8945552000000001E-3</v>
      </c>
      <c r="P35" s="25">
        <v>2.3715100400000001E-2</v>
      </c>
      <c r="Q35" s="25">
        <v>2.63364471E-2</v>
      </c>
      <c r="R35" s="25">
        <v>3.7216121499999998E-2</v>
      </c>
      <c r="S35" s="25">
        <v>3.3910219599999999E-2</v>
      </c>
      <c r="T35" s="25">
        <v>4.1938925E-3</v>
      </c>
      <c r="U35" s="25">
        <v>1.4550794299999999E-2</v>
      </c>
      <c r="W35" s="25">
        <v>-6.0366670000000001E-4</v>
      </c>
      <c r="X35" s="71"/>
      <c r="Y35" s="71"/>
    </row>
    <row r="36" spans="1:25" x14ac:dyDescent="0.2">
      <c r="A36" s="22">
        <v>44469</v>
      </c>
      <c r="B36" s="26">
        <v>-2.5000000000000001E-3</v>
      </c>
      <c r="C36" s="26">
        <v>-1.5299999999999999E-2</v>
      </c>
      <c r="D36" s="26">
        <v>-2.054192636122E-2</v>
      </c>
      <c r="E36" s="26">
        <v>-5.6599999999999998E-2</v>
      </c>
      <c r="F36" s="26">
        <v>-3.7199999999999997E-2</v>
      </c>
      <c r="G36" s="26">
        <v>-2.1999999999999999E-2</v>
      </c>
      <c r="H36" s="26">
        <v>0.12598363439999999</v>
      </c>
      <c r="I36" s="26">
        <v>3.0000000000000001E-3</v>
      </c>
      <c r="J36" s="26">
        <v>2.7532679074916001E-2</v>
      </c>
      <c r="L36" s="22">
        <v>44469</v>
      </c>
      <c r="M36" s="25">
        <v>-6.8128199999999996E-4</v>
      </c>
      <c r="N36" s="25">
        <v>-7.5142771000000002E-3</v>
      </c>
      <c r="O36" s="25">
        <v>-1.2836777400000001E-2</v>
      </c>
      <c r="P36" s="25">
        <v>-5.6628228500000002E-2</v>
      </c>
      <c r="Q36" s="25">
        <v>-3.7515775000000001E-2</v>
      </c>
      <c r="R36" s="25">
        <v>-2.2130099199999999E-2</v>
      </c>
      <c r="S36" s="25">
        <v>-3.3839494400000003E-2</v>
      </c>
      <c r="T36" s="25">
        <v>6.0218687999999999E-3</v>
      </c>
      <c r="U36" s="25">
        <v>-5.31578947E-2</v>
      </c>
      <c r="W36" s="25">
        <v>-5.9983330000000002E-4</v>
      </c>
      <c r="X36" s="71"/>
      <c r="Y36" s="71"/>
    </row>
    <row r="37" spans="1:25" x14ac:dyDescent="0.2">
      <c r="A37" s="22">
        <v>44500</v>
      </c>
      <c r="B37" s="26">
        <v>-2.3999999999999998E-3</v>
      </c>
      <c r="C37" s="26">
        <v>-7.4000000000000003E-3</v>
      </c>
      <c r="D37" s="26">
        <v>-1.3277284975697001E-3</v>
      </c>
      <c r="E37" s="26">
        <v>3.7900000000000003E-2</v>
      </c>
      <c r="F37" s="26">
        <v>5.4199999999999998E-2</v>
      </c>
      <c r="G37" s="26">
        <v>-1.15E-2</v>
      </c>
      <c r="H37" s="26">
        <v>-2.0809147900000002E-2</v>
      </c>
      <c r="I37" s="26">
        <v>3.0000000000000001E-3</v>
      </c>
      <c r="J37" s="26">
        <v>-9.7058641242410999E-3</v>
      </c>
      <c r="L37" s="22">
        <v>44500</v>
      </c>
      <c r="M37" s="25">
        <v>-7.0650509999999999E-4</v>
      </c>
      <c r="N37" s="25">
        <v>-8.6311326000000008E-3</v>
      </c>
      <c r="O37" s="25">
        <v>-2.5706660000000001E-3</v>
      </c>
      <c r="P37" s="25">
        <v>3.7797589999999999E-2</v>
      </c>
      <c r="Q37" s="25">
        <v>5.3917673200000002E-2</v>
      </c>
      <c r="R37" s="25">
        <v>-1.08139281E-2</v>
      </c>
      <c r="S37" s="25">
        <v>0.1024558877</v>
      </c>
      <c r="T37" s="25">
        <v>4.6049825999999999E-3</v>
      </c>
      <c r="U37" s="25">
        <v>5.6512877500000003E-2</v>
      </c>
      <c r="W37" s="25">
        <v>-5.9141670000000001E-4</v>
      </c>
      <c r="X37" s="71"/>
      <c r="Y37" s="71"/>
    </row>
    <row r="38" spans="1:25" x14ac:dyDescent="0.2">
      <c r="A38" s="22">
        <v>44530</v>
      </c>
      <c r="B38" s="26">
        <v>6.9999999999999999E-4</v>
      </c>
      <c r="C38" s="26">
        <v>1.5800000000000002E-2</v>
      </c>
      <c r="D38" s="26">
        <v>-1.562880543905E-2</v>
      </c>
      <c r="E38" s="26">
        <v>-5.1000000000000004E-3</v>
      </c>
      <c r="F38" s="26">
        <v>-1.61E-2</v>
      </c>
      <c r="G38" s="26">
        <v>-2.9600000000000001E-2</v>
      </c>
      <c r="H38" s="26">
        <v>1.2738966799999999E-2</v>
      </c>
      <c r="I38" s="26">
        <v>3.0000000000000001E-3</v>
      </c>
      <c r="J38" s="26">
        <v>-8.2368262039664002E-3</v>
      </c>
      <c r="L38" s="22">
        <v>44530</v>
      </c>
      <c r="M38" s="25">
        <v>-6.6099180000000004E-4</v>
      </c>
      <c r="N38" s="25">
        <v>9.6227280000000005E-3</v>
      </c>
      <c r="O38" s="25">
        <v>1.12887115E-2</v>
      </c>
      <c r="P38" s="25">
        <v>-5.1411427999999999E-3</v>
      </c>
      <c r="Q38" s="25">
        <v>-1.5796418499999999E-2</v>
      </c>
      <c r="R38" s="25">
        <v>-2.85215474E-2</v>
      </c>
      <c r="S38" s="25">
        <v>-1.53680699E-2</v>
      </c>
      <c r="T38" s="25">
        <v>4.0712889E-3</v>
      </c>
      <c r="U38" s="25">
        <v>-1.4030164899999999E-2</v>
      </c>
      <c r="W38" s="25">
        <v>-5.9024999999999995E-4</v>
      </c>
      <c r="X38" s="71"/>
      <c r="Y38" s="71"/>
    </row>
    <row r="39" spans="1:25" x14ac:dyDescent="0.2">
      <c r="A39" s="22">
        <v>44561</v>
      </c>
      <c r="B39" s="26">
        <v>-5.4000000000000003E-3</v>
      </c>
      <c r="C39" s="26">
        <v>-8.6999999999999994E-3</v>
      </c>
      <c r="D39" s="26">
        <v>1.0863034007039999E-2</v>
      </c>
      <c r="E39" s="26">
        <v>5.8599999999999999E-2</v>
      </c>
      <c r="F39" s="26">
        <v>3.7999999999999999E-2</v>
      </c>
      <c r="G39" s="26">
        <v>3.8E-3</v>
      </c>
      <c r="H39" s="26">
        <v>6.7166537900000003E-2</v>
      </c>
      <c r="I39" s="26">
        <v>1.6899999999999998E-2</v>
      </c>
      <c r="J39" s="26">
        <v>6.1680600000000002E-2</v>
      </c>
      <c r="L39" s="22">
        <v>44561</v>
      </c>
      <c r="M39" s="25">
        <v>-6.8090879999999998E-4</v>
      </c>
      <c r="N39" s="25">
        <v>-4.4629348999999999E-3</v>
      </c>
      <c r="O39" s="25">
        <v>-1.0391871699999999E-2</v>
      </c>
      <c r="P39" s="25">
        <v>5.8683485899999999E-2</v>
      </c>
      <c r="Q39" s="25">
        <v>3.7884011299999999E-2</v>
      </c>
      <c r="R39" s="25">
        <v>3.074153E-3</v>
      </c>
      <c r="S39" s="25">
        <v>-5.9869040000000004E-3</v>
      </c>
      <c r="T39" s="25">
        <v>9.5937359000000007E-3</v>
      </c>
      <c r="U39" s="25">
        <v>5.9542867300000003E-2</v>
      </c>
      <c r="W39" s="25">
        <v>-5.8433330000000003E-4</v>
      </c>
      <c r="X39" s="71"/>
      <c r="Y39" s="71"/>
    </row>
    <row r="40" spans="1:25" x14ac:dyDescent="0.2">
      <c r="A40" s="22">
        <v>44592</v>
      </c>
      <c r="B40" s="26">
        <v>-1.7477850104133E-3</v>
      </c>
      <c r="C40" s="26">
        <v>-1.52E-2</v>
      </c>
      <c r="D40" s="26">
        <v>-2.1803409920853001E-2</v>
      </c>
      <c r="E40" s="26">
        <v>-5.6599999999999998E-2</v>
      </c>
      <c r="F40" s="26">
        <v>-5.0999999999999997E-2</v>
      </c>
      <c r="G40" s="26">
        <v>4.1000000000000003E-3</v>
      </c>
      <c r="H40" s="26">
        <v>2.1517230799999999E-2</v>
      </c>
      <c r="I40" s="26">
        <v>3.0000000000000001E-3</v>
      </c>
      <c r="J40" s="26">
        <v>3.2154945246300999E-3</v>
      </c>
      <c r="L40" s="22">
        <v>44592</v>
      </c>
      <c r="M40" s="25">
        <v>-6.8048670000000003E-4</v>
      </c>
      <c r="N40" s="25">
        <v>-1.0029633E-2</v>
      </c>
      <c r="O40" s="25">
        <v>-1.5954445099999999E-2</v>
      </c>
      <c r="P40" s="25">
        <v>-5.6658388300000001E-2</v>
      </c>
      <c r="Q40" s="25">
        <v>-5.0821184700000001E-2</v>
      </c>
      <c r="R40" s="25">
        <v>2.4978886E-3</v>
      </c>
      <c r="S40" s="25">
        <v>-5.10487019E-2</v>
      </c>
      <c r="T40" s="25">
        <v>3.0584117999999999E-3</v>
      </c>
      <c r="U40" s="25">
        <v>-5.5063583300000003E-2</v>
      </c>
      <c r="W40" s="25">
        <v>-5.8958329999999996E-4</v>
      </c>
      <c r="X40" s="71"/>
      <c r="Y40" s="71"/>
    </row>
    <row r="41" spans="1:25" x14ac:dyDescent="0.2">
      <c r="A41" s="22">
        <v>44620</v>
      </c>
      <c r="B41" s="26">
        <v>-2.6645027137580999E-3</v>
      </c>
      <c r="C41" s="26">
        <v>-1.78E-2</v>
      </c>
      <c r="D41" s="26">
        <v>-5.212801132468E-2</v>
      </c>
      <c r="E41" s="26">
        <v>-2.24E-2</v>
      </c>
      <c r="F41" s="26">
        <v>-2.76E-2</v>
      </c>
      <c r="G41" s="26">
        <v>-4.7899999999999998E-2</v>
      </c>
      <c r="H41" s="26">
        <v>-1.45831767E-2</v>
      </c>
      <c r="I41" s="26">
        <v>3.0000000000000001E-3</v>
      </c>
      <c r="J41" s="26">
        <v>-9.6154216713502001E-3</v>
      </c>
      <c r="L41" s="22">
        <v>44620</v>
      </c>
      <c r="M41" s="25">
        <v>-6.3041080000000003E-4</v>
      </c>
      <c r="N41" s="25">
        <v>-1.47363574E-2</v>
      </c>
      <c r="O41" s="25">
        <v>-1.21324499E-2</v>
      </c>
      <c r="P41" s="25">
        <v>-2.1997962999999999E-2</v>
      </c>
      <c r="Q41" s="25">
        <v>-2.7179407400000001E-2</v>
      </c>
      <c r="R41" s="25">
        <v>-4.4060692499999998E-2</v>
      </c>
      <c r="S41" s="25">
        <v>-6.6225377299999999E-2</v>
      </c>
      <c r="T41" s="25">
        <v>3.3842475000000001E-3</v>
      </c>
      <c r="U41" s="25">
        <v>-2.5627359499999999E-2</v>
      </c>
      <c r="W41" s="25">
        <v>-5.9533329999999997E-4</v>
      </c>
      <c r="X41" s="71"/>
      <c r="Y41" s="71"/>
    </row>
    <row r="42" spans="1:25" x14ac:dyDescent="0.2">
      <c r="A42" s="22">
        <v>44651</v>
      </c>
      <c r="B42" s="26">
        <v>-3.7801805980824002E-3</v>
      </c>
      <c r="C42" s="26">
        <v>-3.1099999999999999E-2</v>
      </c>
      <c r="D42" s="26">
        <v>4.4529754517430998E-4</v>
      </c>
      <c r="E42" s="26">
        <v>2.4199999999999999E-2</v>
      </c>
      <c r="F42" s="26">
        <v>3.04E-2</v>
      </c>
      <c r="G42" s="26">
        <v>-1.6899999999999998E-2</v>
      </c>
      <c r="H42" s="26">
        <v>6.9516035899999995E-2</v>
      </c>
      <c r="I42" s="26">
        <v>3.0000000000000001E-3</v>
      </c>
      <c r="J42" s="26">
        <v>4.1170822773440002E-2</v>
      </c>
      <c r="L42" s="22">
        <v>44651</v>
      </c>
      <c r="M42" s="25">
        <v>-6.982367E-4</v>
      </c>
      <c r="N42" s="25">
        <v>-1.6592661799999998E-2</v>
      </c>
      <c r="O42" s="25">
        <v>-2.37356037E-2</v>
      </c>
      <c r="P42" s="25">
        <v>2.41913318E-2</v>
      </c>
      <c r="Q42" s="25">
        <v>3.0177065400000001E-2</v>
      </c>
      <c r="R42" s="25">
        <v>-1.9602345300000001E-2</v>
      </c>
      <c r="S42" s="25">
        <v>4.6378953999999997E-3</v>
      </c>
      <c r="T42" s="25">
        <v>5.7083194E-3</v>
      </c>
      <c r="U42" s="25">
        <v>4.9320813200000001E-2</v>
      </c>
      <c r="W42" s="25">
        <v>-5.8525000000000005E-4</v>
      </c>
      <c r="X42" s="71"/>
      <c r="Y42" s="71"/>
    </row>
    <row r="43" spans="1:25" x14ac:dyDescent="0.2">
      <c r="A43" s="22">
        <v>44681</v>
      </c>
      <c r="B43" s="26">
        <v>1.0909249342284E-4</v>
      </c>
      <c r="C43" s="26">
        <v>-2.2499999999999999E-2</v>
      </c>
      <c r="D43" s="26">
        <v>-4.8762737349253002E-2</v>
      </c>
      <c r="E43" s="26">
        <v>4.1999999999999997E-3</v>
      </c>
      <c r="F43" s="26">
        <v>-7.5499999999999998E-2</v>
      </c>
      <c r="G43" s="26">
        <v>-4.0000000000000001E-3</v>
      </c>
      <c r="H43" s="26">
        <v>5.4889853500000002E-2</v>
      </c>
      <c r="I43" s="26">
        <v>3.0000000000000001E-3</v>
      </c>
      <c r="J43" s="26">
        <v>-1.5560292013818E-2</v>
      </c>
      <c r="L43" s="22">
        <v>44681</v>
      </c>
      <c r="M43" s="25">
        <v>-6.3391269999999995E-4</v>
      </c>
      <c r="N43" s="25">
        <v>-1.18029151E-2</v>
      </c>
      <c r="O43" s="25">
        <v>-2.96470489E-2</v>
      </c>
      <c r="P43" s="25">
        <v>4.1516047000000004E-3</v>
      </c>
      <c r="Q43" s="25">
        <v>-7.5502444299999999E-2</v>
      </c>
      <c r="R43" s="25">
        <v>-3.9058723E-3</v>
      </c>
      <c r="S43" s="25">
        <v>-8.5677088900000004E-2</v>
      </c>
      <c r="T43" s="25">
        <v>2.9311255999999999E-3</v>
      </c>
      <c r="U43" s="25">
        <v>-4.0443092999999999E-2</v>
      </c>
      <c r="W43" s="25">
        <v>-5.8958329999999996E-4</v>
      </c>
      <c r="X43" s="71"/>
      <c r="Y43" s="71"/>
    </row>
    <row r="44" spans="1:25" x14ac:dyDescent="0.2">
      <c r="A44" s="22">
        <v>44712</v>
      </c>
      <c r="B44" s="26">
        <v>-2.4107768270443001E-4</v>
      </c>
      <c r="C44" s="26">
        <v>-5.8999999999999999E-3</v>
      </c>
      <c r="D44" s="26">
        <v>2.0467013146641E-4</v>
      </c>
      <c r="E44" s="26">
        <v>-4.3799999999999999E-2</v>
      </c>
      <c r="F44" s="26">
        <v>-1.9E-3</v>
      </c>
      <c r="G44" s="26">
        <v>-7.4999999999999997E-3</v>
      </c>
      <c r="H44" s="26">
        <v>-1.34261898E-2</v>
      </c>
      <c r="I44" s="26">
        <v>3.0000000000000001E-3</v>
      </c>
      <c r="J44" s="26">
        <v>-3.3698386203029002E-3</v>
      </c>
      <c r="L44" s="22">
        <v>44712</v>
      </c>
      <c r="M44" s="25">
        <v>-6.2276569999999997E-4</v>
      </c>
      <c r="N44" s="25">
        <v>-3.6072144000000002E-3</v>
      </c>
      <c r="O44" s="25">
        <v>-8.0835226999999999E-3</v>
      </c>
      <c r="P44" s="25">
        <v>-4.3843907699999997E-2</v>
      </c>
      <c r="Q44" s="25">
        <v>-1.9305018999999999E-3</v>
      </c>
      <c r="R44" s="25">
        <v>-8.1173996999999998E-3</v>
      </c>
      <c r="S44" s="25">
        <v>1.77665397E-2</v>
      </c>
      <c r="T44" s="25">
        <v>3.1456514999999999E-3</v>
      </c>
      <c r="U44" s="25">
        <v>-4.6267372899999999E-2</v>
      </c>
      <c r="W44" s="25">
        <v>-5.8975E-4</v>
      </c>
      <c r="X44" s="71"/>
      <c r="Y44" s="71"/>
    </row>
    <row r="45" spans="1:25" x14ac:dyDescent="0.2">
      <c r="A45" s="22">
        <v>44742</v>
      </c>
      <c r="B45" s="26">
        <v>-6.7300226045318998E-3</v>
      </c>
      <c r="C45" s="26">
        <v>-1.9800000000000002E-2</v>
      </c>
      <c r="D45" s="26">
        <v>-5.5005478050759997E-2</v>
      </c>
      <c r="E45" s="26">
        <v>-7.2700000000000001E-2</v>
      </c>
      <c r="F45" s="26">
        <v>-7.85E-2</v>
      </c>
      <c r="G45" s="26">
        <v>-6.6900000000000001E-2</v>
      </c>
      <c r="H45" s="26">
        <v>-1.2057098699999999E-2</v>
      </c>
      <c r="I45" s="26">
        <v>3.0000000000000001E-3</v>
      </c>
      <c r="J45" s="26">
        <v>-4.3902020534930001E-3</v>
      </c>
      <c r="L45" s="22">
        <v>44742</v>
      </c>
      <c r="M45" s="25">
        <v>-5.4225930000000001E-4</v>
      </c>
      <c r="N45" s="25">
        <v>-1.34352373E-2</v>
      </c>
      <c r="O45" s="25">
        <v>-1.34149422E-2</v>
      </c>
      <c r="P45" s="25">
        <v>-7.2702021199999994E-2</v>
      </c>
      <c r="Q45" s="25">
        <v>-7.8630897300000002E-2</v>
      </c>
      <c r="R45" s="25">
        <v>-6.76189918E-2</v>
      </c>
      <c r="S45" s="25">
        <v>-0.1474463352</v>
      </c>
      <c r="T45" s="25">
        <v>3.5653524000000001E-3</v>
      </c>
      <c r="U45" s="25">
        <v>-7.4761475300000005E-2</v>
      </c>
      <c r="W45" s="25">
        <v>-4.0108329999999999E-4</v>
      </c>
      <c r="X45" s="71"/>
      <c r="Y45" s="71"/>
    </row>
    <row r="46" spans="1:25" x14ac:dyDescent="0.2">
      <c r="A46" s="22">
        <v>44773</v>
      </c>
      <c r="B46" s="26">
        <v>1.3525331963554999E-3</v>
      </c>
      <c r="C46" s="26">
        <v>3.6900000000000002E-2</v>
      </c>
      <c r="D46" s="26">
        <v>2.0976236536491E-2</v>
      </c>
      <c r="E46" s="26">
        <v>4.4299999999999999E-2</v>
      </c>
      <c r="F46" s="26">
        <v>7.9500000000000001E-2</v>
      </c>
      <c r="G46" s="26">
        <v>-9.2999999999999992E-3</v>
      </c>
      <c r="H46" s="26">
        <v>-5.5099967999999999E-3</v>
      </c>
      <c r="I46" s="26">
        <v>3.0000000000000001E-3</v>
      </c>
      <c r="J46" s="26">
        <v>2.895E-2</v>
      </c>
      <c r="L46" s="22">
        <v>44773</v>
      </c>
      <c r="M46" s="25">
        <v>-4.4204770000000001E-4</v>
      </c>
      <c r="N46" s="25">
        <v>1.9897251899999999E-2</v>
      </c>
      <c r="O46" s="25">
        <v>2.14007464E-2</v>
      </c>
      <c r="P46" s="25">
        <v>4.4241358799999998E-2</v>
      </c>
      <c r="Q46" s="25">
        <v>7.8952172299999998E-2</v>
      </c>
      <c r="R46" s="25">
        <v>-7.6146505000000003E-3</v>
      </c>
      <c r="S46" s="25">
        <v>0.13808655380000001</v>
      </c>
      <c r="T46" s="25">
        <v>4.6093499000000003E-3</v>
      </c>
      <c r="U46" s="25">
        <v>7.6544223300000006E-2</v>
      </c>
      <c r="W46" s="25">
        <v>-1.7349999999999999E-4</v>
      </c>
      <c r="X46" s="71"/>
      <c r="Y46" s="71"/>
    </row>
    <row r="47" spans="1:25" x14ac:dyDescent="0.2">
      <c r="A47" s="22">
        <v>44804</v>
      </c>
      <c r="B47" s="26">
        <v>-2.0466948999409E-4</v>
      </c>
      <c r="C47" s="26">
        <v>-3.0700000000000002E-2</v>
      </c>
      <c r="D47" s="26">
        <v>-9.3176177186259992E-3</v>
      </c>
      <c r="E47" s="26">
        <v>-3.0599999999999999E-2</v>
      </c>
      <c r="F47" s="26">
        <v>-3.6900000000000002E-2</v>
      </c>
      <c r="G47" s="26">
        <v>2.7699999999999999E-2</v>
      </c>
      <c r="H47" s="26">
        <v>2.4927377699999999E-2</v>
      </c>
      <c r="I47" s="26">
        <v>3.0000000000000001E-3</v>
      </c>
      <c r="J47" s="26">
        <v>-1.7420000000000001E-2</v>
      </c>
      <c r="L47" s="22">
        <v>44804</v>
      </c>
      <c r="M47" s="25">
        <v>-2.5893919999999998E-4</v>
      </c>
      <c r="N47" s="25">
        <v>-2.3426880899999999E-2</v>
      </c>
      <c r="O47" s="25">
        <v>-3.3081109099999999E-2</v>
      </c>
      <c r="P47" s="25">
        <v>-3.06436418E-2</v>
      </c>
      <c r="Q47" s="25">
        <v>-3.7010405199999999E-2</v>
      </c>
      <c r="R47" s="25">
        <v>2.9005747799999999E-2</v>
      </c>
      <c r="S47" s="25">
        <v>-5.0686161100000002E-2</v>
      </c>
      <c r="T47" s="25">
        <v>4.8784778000000003E-3</v>
      </c>
      <c r="U47" s="25">
        <v>-5.8997331299999997E-2</v>
      </c>
      <c r="W47" s="25">
        <v>-1.7200000000000001E-4</v>
      </c>
      <c r="X47" s="71"/>
      <c r="Y47" s="71"/>
    </row>
    <row r="48" spans="1:25" x14ac:dyDescent="0.2">
      <c r="A48" s="22">
        <v>44834</v>
      </c>
      <c r="B48" s="26">
        <v>-1.5574586388867001E-4</v>
      </c>
      <c r="C48" s="26">
        <v>-2.1700000000000001E-2</v>
      </c>
      <c r="D48" s="26">
        <v>-5.5456982768161002E-2</v>
      </c>
      <c r="E48" s="26">
        <v>-5.9799999999999999E-2</v>
      </c>
      <c r="F48" s="26">
        <v>-8.5699999999999998E-2</v>
      </c>
      <c r="G48" s="26">
        <v>-0.10970000000000001</v>
      </c>
      <c r="H48" s="26">
        <v>-3.6834119499999998E-2</v>
      </c>
      <c r="I48" s="26">
        <v>3.0000000000000001E-3</v>
      </c>
      <c r="J48" s="26">
        <v>-7.7000000000000002E-3</v>
      </c>
      <c r="L48" s="22">
        <v>44834</v>
      </c>
      <c r="M48" s="25">
        <v>-6.6754200000000005E-5</v>
      </c>
      <c r="N48" s="25">
        <v>-1.6374652E-2</v>
      </c>
      <c r="O48" s="25">
        <v>-3.4058654700000003E-2</v>
      </c>
      <c r="P48" s="25">
        <v>-5.9792769099999997E-2</v>
      </c>
      <c r="Q48" s="25">
        <v>-8.5825976200000001E-2</v>
      </c>
      <c r="R48" s="25">
        <v>-0.1097251152</v>
      </c>
      <c r="S48" s="25">
        <v>-0.14156472389999999</v>
      </c>
      <c r="T48" s="25">
        <v>3.0989311000000001E-3</v>
      </c>
      <c r="U48" s="25">
        <v>-0.1126810493</v>
      </c>
      <c r="W48" s="25">
        <v>-6.05833E-5</v>
      </c>
      <c r="X48" s="71"/>
      <c r="Y48" s="71"/>
    </row>
    <row r="49" spans="1:25" x14ac:dyDescent="0.2">
      <c r="A49" s="22">
        <v>44865</v>
      </c>
      <c r="B49" s="26">
        <v>2.8544182518764E-4</v>
      </c>
      <c r="C49" s="26">
        <v>6.8500000000000002E-3</v>
      </c>
      <c r="D49" s="26">
        <v>-2.7122270977940001E-3</v>
      </c>
      <c r="E49" s="26">
        <v>4.8300000000000003E-2</v>
      </c>
      <c r="F49" s="26">
        <v>7.0199999999999999E-2</v>
      </c>
      <c r="G49" s="26">
        <v>-1.4200000000000001E-2</v>
      </c>
      <c r="H49" s="26">
        <v>1.6585151999999999E-2</v>
      </c>
      <c r="I49" s="26">
        <v>3.0000000000000001E-3</v>
      </c>
      <c r="J49" s="26">
        <v>-1.9349999999999999E-2</v>
      </c>
      <c r="L49" s="22">
        <v>44865</v>
      </c>
      <c r="M49" s="25">
        <v>6.9429000000000002E-5</v>
      </c>
      <c r="N49" s="25">
        <v>7.4912601999999997E-3</v>
      </c>
      <c r="O49" s="25">
        <v>-6.3875436999999997E-3</v>
      </c>
      <c r="P49" s="25">
        <v>4.8358014900000003E-2</v>
      </c>
      <c r="Q49" s="25">
        <v>7.0821121400000006E-2</v>
      </c>
      <c r="R49" s="25">
        <v>-1.4803595100000001E-2</v>
      </c>
      <c r="S49" s="25">
        <v>0.121949181</v>
      </c>
      <c r="T49" s="25">
        <v>4.7110442000000002E-3</v>
      </c>
      <c r="U49" s="25">
        <v>2.9222076400000001E-2</v>
      </c>
      <c r="W49" s="25">
        <v>3.6925E-4</v>
      </c>
      <c r="X49" s="71"/>
      <c r="Y49" s="71"/>
    </row>
    <row r="50" spans="1:25" x14ac:dyDescent="0.2">
      <c r="A50" s="22">
        <v>44895</v>
      </c>
      <c r="B50" s="26">
        <v>-1.4409768718459E-3</v>
      </c>
      <c r="C50" s="26">
        <v>1.47E-2</v>
      </c>
      <c r="D50" s="26">
        <v>5.7035797232286002E-2</v>
      </c>
      <c r="E50" s="26">
        <v>2.87E-2</v>
      </c>
      <c r="F50" s="26">
        <v>5.33E-2</v>
      </c>
      <c r="G50" s="26">
        <v>9.2700000000000005E-2</v>
      </c>
      <c r="H50" s="26">
        <v>-4.8114584699999997E-2</v>
      </c>
      <c r="I50" s="26">
        <v>3.0000000000000001E-3</v>
      </c>
      <c r="J50" s="26">
        <v>-4.2300000000000003E-3</v>
      </c>
      <c r="L50" s="22">
        <v>44895</v>
      </c>
      <c r="M50" s="25">
        <v>1.49529E-4</v>
      </c>
      <c r="N50" s="25">
        <v>1.19795109E-2</v>
      </c>
      <c r="O50" s="25">
        <v>1.73147136E-2</v>
      </c>
      <c r="P50" s="25">
        <v>2.8721126E-2</v>
      </c>
      <c r="Q50" s="25">
        <v>5.2945663400000002E-2</v>
      </c>
      <c r="R50" s="25">
        <v>9.32384983E-2</v>
      </c>
      <c r="S50" s="25">
        <v>4.7154398100000001E-2</v>
      </c>
      <c r="T50" s="25">
        <v>4.2445457000000004E-3</v>
      </c>
      <c r="U50" s="25">
        <v>4.7579437699999998E-2</v>
      </c>
      <c r="W50" s="25">
        <v>3.7825000000000001E-4</v>
      </c>
      <c r="X50" s="71"/>
      <c r="Y50" s="71"/>
    </row>
    <row r="51" spans="1:25" x14ac:dyDescent="0.2">
      <c r="A51" s="22">
        <v>44926</v>
      </c>
      <c r="B51" s="26">
        <v>-3.9610569980223003E-3</v>
      </c>
      <c r="C51" s="26">
        <v>-0.03</v>
      </c>
      <c r="D51" s="26">
        <v>-4.3630463455662004E-3</v>
      </c>
      <c r="E51" s="26">
        <v>-3.27E-2</v>
      </c>
      <c r="F51" s="26">
        <v>-5.4300000000000001E-2</v>
      </c>
      <c r="G51" s="26">
        <v>-4.2099999999999999E-2</v>
      </c>
      <c r="H51" s="26">
        <v>-3.9024845099999997E-2</v>
      </c>
      <c r="I51" s="26">
        <v>6.9999999999999999E-4</v>
      </c>
      <c r="J51" s="26">
        <v>5.6600000000000001E-3</v>
      </c>
      <c r="L51" s="22">
        <v>44926</v>
      </c>
      <c r="M51" s="25">
        <v>2.9278380000000002E-4</v>
      </c>
      <c r="N51" s="25">
        <v>-1.6164584900000001E-2</v>
      </c>
      <c r="O51" s="25">
        <v>-2.43680636E-2</v>
      </c>
      <c r="P51" s="25">
        <v>-3.2723641400000003E-2</v>
      </c>
      <c r="Q51" s="25">
        <v>-5.44594537E-2</v>
      </c>
      <c r="R51" s="25">
        <v>-4.25650375E-2</v>
      </c>
      <c r="S51" s="25">
        <v>-8.6609248200000002E-2</v>
      </c>
      <c r="T51" s="25">
        <v>4.2412528000000003E-3</v>
      </c>
      <c r="U51" s="25">
        <v>-3.92779631E-2</v>
      </c>
      <c r="W51" s="25">
        <v>5.7125000000000003E-4</v>
      </c>
      <c r="X51" s="71"/>
      <c r="Y51" s="71"/>
    </row>
    <row r="52" spans="1:25" x14ac:dyDescent="0.2">
      <c r="A52" s="22">
        <v>44957</v>
      </c>
      <c r="B52" s="26">
        <v>-1.1589417519861E-3</v>
      </c>
      <c r="C52" s="26">
        <v>2.5000000000000001E-2</v>
      </c>
      <c r="D52" s="26">
        <v>2.9481828876637001E-2</v>
      </c>
      <c r="E52" s="26">
        <v>5.4300000000000001E-2</v>
      </c>
      <c r="F52" s="26">
        <v>6.3E-2</v>
      </c>
      <c r="G52" s="26">
        <v>7.3300000000000004E-2</v>
      </c>
      <c r="H52" s="26">
        <v>-7.0233708000000004E-3</v>
      </c>
      <c r="I52" s="26">
        <v>2.8999999999999998E-3</v>
      </c>
      <c r="J52" s="26">
        <v>-3.6310000000000002E-2</v>
      </c>
      <c r="L52" s="22">
        <v>44957</v>
      </c>
      <c r="M52" s="25">
        <v>4.8219570000000001E-4</v>
      </c>
      <c r="N52" s="25">
        <v>1.6430171800000001E-2</v>
      </c>
      <c r="O52" s="25">
        <v>1.90914633E-2</v>
      </c>
      <c r="P52" s="25">
        <v>5.5001652700000001E-2</v>
      </c>
      <c r="Q52" s="25">
        <v>6.2373247999999999E-2</v>
      </c>
      <c r="R52" s="25">
        <v>7.1439986499999997E-2</v>
      </c>
      <c r="S52" s="25">
        <v>0.1106390278</v>
      </c>
      <c r="T52" s="25">
        <v>2.9904916999999999E-3</v>
      </c>
      <c r="U52" s="25">
        <v>8.0830899799999995E-2</v>
      </c>
      <c r="W52" s="25">
        <v>7.8466669999999997E-4</v>
      </c>
      <c r="X52" s="71"/>
      <c r="Y52" s="71"/>
    </row>
    <row r="53" spans="1:25" x14ac:dyDescent="0.2">
      <c r="A53" s="22">
        <v>44985</v>
      </c>
      <c r="B53" s="26">
        <v>-1.5028897765037999E-3</v>
      </c>
      <c r="C53" s="26">
        <v>-1.5699999999999999E-2</v>
      </c>
      <c r="D53" s="26">
        <v>-2.7756743459398998E-2</v>
      </c>
      <c r="E53" s="26">
        <v>-1.29E-2</v>
      </c>
      <c r="F53" s="26">
        <v>-1.8100000000000002E-2</v>
      </c>
      <c r="G53" s="26">
        <v>-4.5699999999999998E-2</v>
      </c>
      <c r="H53" s="26">
        <v>2.0136867100000001E-2</v>
      </c>
      <c r="I53" s="26">
        <v>2.8999999999999998E-3</v>
      </c>
      <c r="J53" s="26">
        <v>5.8399999999999997E-3</v>
      </c>
      <c r="L53" s="22">
        <v>44985</v>
      </c>
      <c r="M53" s="25">
        <v>6.0823409999999996E-4</v>
      </c>
      <c r="N53" s="25">
        <v>-1.0776389900000001E-2</v>
      </c>
      <c r="O53" s="25">
        <v>-1.9263544000000001E-2</v>
      </c>
      <c r="P53" s="25">
        <v>-1.2892762699999999E-2</v>
      </c>
      <c r="Q53" s="25">
        <v>-1.8071522499999999E-2</v>
      </c>
      <c r="R53" s="25">
        <v>-4.6012494700000003E-2</v>
      </c>
      <c r="S53" s="25">
        <v>1.8106698099999999E-2</v>
      </c>
      <c r="T53" s="25">
        <v>2.4817115999999999E-3</v>
      </c>
      <c r="U53" s="25">
        <v>-3.6653751999999998E-2</v>
      </c>
      <c r="W53" s="25">
        <v>7.8775000000000004E-4</v>
      </c>
      <c r="X53" s="71"/>
      <c r="Y53" s="71"/>
    </row>
    <row r="54" spans="1:25" x14ac:dyDescent="0.2">
      <c r="A54" s="22">
        <v>45016</v>
      </c>
      <c r="B54" s="26">
        <v>-4.1528482911046001E-4</v>
      </c>
      <c r="C54" s="26">
        <v>7.6E-3</v>
      </c>
      <c r="D54" s="26">
        <v>1.3734273171134999E-3</v>
      </c>
      <c r="E54" s="26">
        <v>1.7000000000000001E-2</v>
      </c>
      <c r="F54" s="26">
        <v>2.1999999999999999E-2</v>
      </c>
      <c r="G54" s="26">
        <v>4.7999999999999996E-3</v>
      </c>
      <c r="H54" s="26">
        <v>-1.35775203E-2</v>
      </c>
      <c r="I54" s="26">
        <v>2.8999999999999998E-3</v>
      </c>
      <c r="J54" s="26">
        <v>-3.7850000000000002E-2</v>
      </c>
      <c r="L54" s="22">
        <v>45016</v>
      </c>
      <c r="M54" s="25">
        <v>8.2648230000000001E-4</v>
      </c>
      <c r="N54" s="25">
        <v>5.7770079999999995E-4</v>
      </c>
      <c r="O54" s="25">
        <v>2.2958484800000001E-2</v>
      </c>
      <c r="P54" s="25">
        <v>1.7030820499999998E-2</v>
      </c>
      <c r="Q54" s="25">
        <v>2.1817082099999999E-2</v>
      </c>
      <c r="R54" s="25">
        <v>4.2350260000000002E-3</v>
      </c>
      <c r="S54" s="25">
        <v>-7.1247585899999993E-2</v>
      </c>
      <c r="T54" s="25">
        <v>1.962742E-3</v>
      </c>
      <c r="U54" s="25">
        <v>-3.8048367499999999E-2</v>
      </c>
      <c r="W54" s="25">
        <v>8.308333E-4</v>
      </c>
      <c r="X54" s="71"/>
      <c r="Y54" s="71"/>
    </row>
    <row r="55" spans="1:25" x14ac:dyDescent="0.2">
      <c r="A55" s="22">
        <v>45046</v>
      </c>
      <c r="B55" s="26">
        <v>5.7583818404572003E-4</v>
      </c>
      <c r="C55" s="26">
        <v>8.6E-3</v>
      </c>
      <c r="D55" s="26">
        <v>9.4939439588381997E-4</v>
      </c>
      <c r="E55" s="26">
        <v>3.61E-2</v>
      </c>
      <c r="F55" s="26">
        <v>1.2500000000000001E-2</v>
      </c>
      <c r="G55" s="26">
        <v>-3.7999999999999999E-2</v>
      </c>
      <c r="H55" s="26">
        <v>-2.5817769099999999E-2</v>
      </c>
      <c r="I55" s="26">
        <v>2.8999999999999998E-3</v>
      </c>
      <c r="J55" s="26">
        <v>-1.3809999999999999E-2</v>
      </c>
      <c r="L55" s="22">
        <v>45046</v>
      </c>
      <c r="M55" s="25">
        <v>9.1814730000000001E-4</v>
      </c>
      <c r="N55" s="25">
        <v>8.0006598000000005E-3</v>
      </c>
      <c r="O55" s="25">
        <v>2.46884E-4</v>
      </c>
      <c r="P55" s="25">
        <v>3.6151585100000001E-2</v>
      </c>
      <c r="Q55" s="25">
        <v>1.2218839800000001E-2</v>
      </c>
      <c r="R55" s="25">
        <v>-3.6764535100000002E-2</v>
      </c>
      <c r="S55" s="25">
        <v>4.1140202000000004E-3</v>
      </c>
      <c r="T55" s="25">
        <v>1.8581946000000001E-3</v>
      </c>
      <c r="U55" s="25">
        <v>1.7768731400000001E-2</v>
      </c>
      <c r="W55" s="25">
        <v>1.1749167E-3</v>
      </c>
      <c r="X55" s="71"/>
      <c r="Y55" s="71"/>
    </row>
    <row r="56" spans="1:25" x14ac:dyDescent="0.2">
      <c r="A56" s="22">
        <v>45077</v>
      </c>
      <c r="B56" s="26">
        <v>-2.6526171480156999E-3</v>
      </c>
      <c r="C56" s="26">
        <v>1.49E-2</v>
      </c>
      <c r="D56" s="26">
        <v>-1.2901052129374001E-2</v>
      </c>
      <c r="E56" s="26">
        <v>-1.89E-2</v>
      </c>
      <c r="F56" s="26">
        <v>-4.3E-3</v>
      </c>
      <c r="G56" s="26">
        <v>9.7000000000000003E-3</v>
      </c>
      <c r="H56" s="26">
        <v>2.69034514E-2</v>
      </c>
      <c r="I56" s="26">
        <v>2.8999999999999998E-3</v>
      </c>
      <c r="J56" s="26">
        <v>1.0319999999999999E-2</v>
      </c>
      <c r="L56" s="22">
        <v>45077</v>
      </c>
      <c r="M56" s="25">
        <v>1.0787648999999999E-3</v>
      </c>
      <c r="N56" s="25">
        <v>8.5099418999999999E-3</v>
      </c>
      <c r="O56" s="25">
        <v>-8.2076696000000001E-3</v>
      </c>
      <c r="P56" s="25">
        <v>-1.8872844E-2</v>
      </c>
      <c r="Q56" s="25">
        <v>-4.4693203999999999E-3</v>
      </c>
      <c r="R56" s="25">
        <v>9.8255062000000004E-3</v>
      </c>
      <c r="S56" s="25">
        <v>1.6806932199999999E-2</v>
      </c>
      <c r="T56" s="25">
        <v>2.7274980000000001E-3</v>
      </c>
      <c r="U56" s="25">
        <v>-4.0268093599999999E-2</v>
      </c>
      <c r="W56" s="25">
        <v>1.1886666999999999E-3</v>
      </c>
      <c r="X56" s="71"/>
      <c r="Y56" s="71"/>
    </row>
    <row r="57" spans="1:25" x14ac:dyDescent="0.2">
      <c r="A57" s="22">
        <v>45107</v>
      </c>
      <c r="B57" s="26">
        <v>3.1038390302607003E-5</v>
      </c>
      <c r="C57" s="26">
        <v>6.4000000000000005E-4</v>
      </c>
      <c r="D57" s="26">
        <v>2.3348677267807001E-2</v>
      </c>
      <c r="E57" s="26">
        <v>5.0000000000000001E-3</v>
      </c>
      <c r="F57" s="26">
        <v>5.4600000000000003E-2</v>
      </c>
      <c r="G57" s="26">
        <v>1.5800000000000002E-2</v>
      </c>
      <c r="H57" s="26">
        <v>-3.911327E-3</v>
      </c>
      <c r="I57" s="26">
        <v>2.8999999999999998E-3</v>
      </c>
      <c r="J57" s="26">
        <v>-1.209E-2</v>
      </c>
      <c r="L57" s="22">
        <v>45107</v>
      </c>
      <c r="M57" s="25">
        <v>1.1564730000000001E-3</v>
      </c>
      <c r="N57" s="25">
        <v>-3.0020284E-3</v>
      </c>
      <c r="O57" s="25">
        <v>-5.9549325999999998E-3</v>
      </c>
      <c r="P57" s="25">
        <v>4.9538459E-3</v>
      </c>
      <c r="Q57" s="25">
        <v>5.4460015100000002E-2</v>
      </c>
      <c r="R57" s="25">
        <v>1.58274664E-2</v>
      </c>
      <c r="S57" s="25">
        <v>4.2037627799999998E-2</v>
      </c>
      <c r="T57" s="25">
        <v>6.315073E-4</v>
      </c>
      <c r="U57" s="25">
        <v>2.76526245E-2</v>
      </c>
      <c r="W57" s="25">
        <v>1.255E-3</v>
      </c>
      <c r="X57" s="71"/>
      <c r="Y57" s="71"/>
    </row>
    <row r="58" spans="1:25" x14ac:dyDescent="0.2">
      <c r="A58" s="22">
        <v>45138</v>
      </c>
      <c r="B58" s="26">
        <v>5.6459463736069002E-4</v>
      </c>
      <c r="C58" s="26">
        <v>1.1999999999999999E-3</v>
      </c>
      <c r="D58" s="26">
        <v>1.6226221272131001E-2</v>
      </c>
      <c r="E58" s="26">
        <v>4.4000000000000003E-3</v>
      </c>
      <c r="F58" s="26">
        <v>2.6200000000000001E-2</v>
      </c>
      <c r="G58" s="26">
        <v>2.9700000000000001E-2</v>
      </c>
      <c r="H58" s="26">
        <v>-3.2145346399999997E-2</v>
      </c>
      <c r="I58" s="26">
        <v>2.8999999999999998E-3</v>
      </c>
      <c r="J58" s="26">
        <v>-3.1199999999999999E-3</v>
      </c>
      <c r="L58" s="22">
        <v>45138</v>
      </c>
      <c r="M58" s="25">
        <v>1.2985335000000001E-3</v>
      </c>
      <c r="N58" s="25">
        <v>3.1738281000000001E-3</v>
      </c>
      <c r="O58" s="25">
        <v>-6.0847812999999997E-3</v>
      </c>
      <c r="P58" s="25">
        <v>4.3938238999999997E-3</v>
      </c>
      <c r="Q58" s="25">
        <v>2.5903230900000001E-2</v>
      </c>
      <c r="R58" s="25">
        <v>2.9243758700000001E-2</v>
      </c>
      <c r="S58" s="25">
        <v>3.3545648099999999E-2</v>
      </c>
      <c r="T58" s="25">
        <v>5.456708E-4</v>
      </c>
      <c r="U58" s="25">
        <v>2.93746917E-2</v>
      </c>
      <c r="W58" s="25">
        <v>1.4208332999999999E-3</v>
      </c>
      <c r="X58" s="71"/>
      <c r="Y58" s="71"/>
    </row>
    <row r="59" spans="1:25" x14ac:dyDescent="0.2">
      <c r="A59" s="22">
        <v>45169</v>
      </c>
      <c r="B59" s="26">
        <v>4.683230654039E-4</v>
      </c>
      <c r="C59" s="26">
        <v>6.7999999999999996E-3</v>
      </c>
      <c r="D59" s="26">
        <v>-2.2182168651814001E-2</v>
      </c>
      <c r="E59" s="26">
        <v>-1.7600000000000001E-2</v>
      </c>
      <c r="F59" s="26">
        <v>-2.06E-2</v>
      </c>
      <c r="G59" s="26">
        <v>-4.5100000000000001E-2</v>
      </c>
      <c r="H59" s="26">
        <v>1.8918505499999998E-2</v>
      </c>
      <c r="I59" s="26">
        <v>2.8999999999999998E-3</v>
      </c>
      <c r="J59" s="26">
        <v>1E-3</v>
      </c>
      <c r="L59" s="22">
        <v>45169</v>
      </c>
      <c r="M59" s="25">
        <v>1.3932071000000001E-3</v>
      </c>
      <c r="N59" s="25">
        <v>4.8673643000000004E-3</v>
      </c>
      <c r="O59" s="25">
        <v>-5.0030724E-3</v>
      </c>
      <c r="P59" s="25">
        <v>-1.7575451799999999E-2</v>
      </c>
      <c r="Q59" s="25">
        <v>-2.07113214E-2</v>
      </c>
      <c r="R59" s="25">
        <v>-4.3846854999999997E-2</v>
      </c>
      <c r="S59" s="25">
        <v>3.9184692E-3</v>
      </c>
      <c r="T59" s="25">
        <v>2.6255177000000002E-3</v>
      </c>
      <c r="U59" s="25">
        <v>-2.8217004699999999E-2</v>
      </c>
      <c r="W59" s="25">
        <v>1.4207499999999999E-3</v>
      </c>
      <c r="X59" s="71"/>
      <c r="Y59" s="71"/>
    </row>
    <row r="60" spans="1:25" x14ac:dyDescent="0.2">
      <c r="A60" s="22">
        <v>45199</v>
      </c>
      <c r="B60" s="26">
        <v>-8.7992775407764003E-4</v>
      </c>
      <c r="C60" s="26">
        <v>-9.2800000000000001E-3</v>
      </c>
      <c r="D60" s="26">
        <v>-3.3377356522492997E-2</v>
      </c>
      <c r="E60" s="26">
        <v>-2.0199999999999999E-2</v>
      </c>
      <c r="F60" s="26">
        <v>-4.1200000000000001E-2</v>
      </c>
      <c r="G60" s="26">
        <v>7.0000000000000001E-3</v>
      </c>
      <c r="H60" s="26">
        <v>5.4319823199999999E-2</v>
      </c>
      <c r="I60" s="26">
        <v>4.0000000000000002E-4</v>
      </c>
      <c r="J60" s="26">
        <v>-2.4299999999999999E-2</v>
      </c>
      <c r="L60" s="22">
        <v>45199</v>
      </c>
      <c r="M60" s="25">
        <v>1.4115728000000001E-3</v>
      </c>
      <c r="N60" s="25">
        <v>-2.2604343000000001E-3</v>
      </c>
      <c r="O60" s="25">
        <v>-2.2740408399999999E-2</v>
      </c>
      <c r="P60" s="25">
        <v>-2.0191998199999998E-2</v>
      </c>
      <c r="Q60" s="25">
        <v>-4.16254109E-2</v>
      </c>
      <c r="R60" s="25">
        <v>8.6347824000000007E-3</v>
      </c>
      <c r="S60" s="25">
        <v>2.6013692000000001E-2</v>
      </c>
      <c r="T60" s="25">
        <v>3.0582999999999999E-4</v>
      </c>
      <c r="U60" s="25">
        <v>-5.80726456E-2</v>
      </c>
      <c r="W60" s="25">
        <v>1.4215E-3</v>
      </c>
      <c r="X60" s="71"/>
      <c r="Y60" s="71"/>
    </row>
    <row r="61" spans="1:25" x14ac:dyDescent="0.2">
      <c r="A61" s="22">
        <v>45230</v>
      </c>
      <c r="B61" s="26">
        <v>-1.0584951649959E-3</v>
      </c>
      <c r="C61" s="26">
        <v>5.1999999999999998E-3</v>
      </c>
      <c r="D61" s="26">
        <v>-1.3986601838664001E-2</v>
      </c>
      <c r="E61" s="26">
        <v>-5.2400000000000002E-2</v>
      </c>
      <c r="F61" s="26">
        <v>-2.8400000000000002E-2</v>
      </c>
      <c r="G61" s="26">
        <v>-4.2900000000000001E-2</v>
      </c>
      <c r="H61" s="26">
        <v>-5.3529210999999997E-3</v>
      </c>
      <c r="I61" s="26">
        <v>4.0000000000000002E-4</v>
      </c>
      <c r="J61" s="26">
        <v>-9.7000000000000003E-3</v>
      </c>
      <c r="L61" s="22">
        <v>45230</v>
      </c>
      <c r="M61" s="25">
        <v>1.4510154000000001E-3</v>
      </c>
      <c r="N61" s="25">
        <v>7.1203172000000002E-3</v>
      </c>
      <c r="O61" s="25">
        <v>-9.1373002000000002E-3</v>
      </c>
      <c r="P61" s="25">
        <v>-5.2362754599999999E-2</v>
      </c>
      <c r="Q61" s="25">
        <v>-2.8101496E-2</v>
      </c>
      <c r="R61" s="25">
        <v>-4.3844646600000002E-2</v>
      </c>
      <c r="S61" s="25">
        <v>-8.0575052300000005E-2</v>
      </c>
      <c r="T61" s="25">
        <v>2.0033757000000002E-3</v>
      </c>
      <c r="U61" s="25">
        <v>-4.5716279899999997E-2</v>
      </c>
      <c r="W61" s="25">
        <v>1.4191666999999999E-3</v>
      </c>
      <c r="X61" s="71"/>
      <c r="Y61" s="71"/>
    </row>
    <row r="62" spans="1:25" x14ac:dyDescent="0.2">
      <c r="A62" s="22">
        <v>45260</v>
      </c>
      <c r="B62" s="26">
        <v>-7.3826560298296E-4</v>
      </c>
      <c r="C62" s="26">
        <v>1.9800000000000002E-2</v>
      </c>
      <c r="D62" s="26">
        <v>5.5257397798286999E-2</v>
      </c>
      <c r="E62" s="26">
        <v>4.5499999999999999E-2</v>
      </c>
      <c r="F62" s="26">
        <v>7.8100000000000003E-2</v>
      </c>
      <c r="G62" s="26">
        <v>2.92E-2</v>
      </c>
      <c r="H62" s="26">
        <v>-4.4498088900000003E-2</v>
      </c>
      <c r="I62" s="26">
        <v>1.508E-2</v>
      </c>
      <c r="J62" s="26">
        <v>5.4100000000000002E-2</v>
      </c>
      <c r="L62" s="22">
        <v>45260</v>
      </c>
      <c r="M62" s="25">
        <v>1.3617670000000001E-3</v>
      </c>
      <c r="N62" s="25">
        <v>8.9981521999999998E-3</v>
      </c>
      <c r="O62" s="25">
        <v>2.7379633800000001E-2</v>
      </c>
      <c r="P62" s="25">
        <v>4.5542709000000001E-2</v>
      </c>
      <c r="Q62" s="25">
        <v>7.8025342299999995E-2</v>
      </c>
      <c r="R62" s="25">
        <v>3.1964828799999997E-2</v>
      </c>
      <c r="S62" s="25">
        <v>0.1256519019</v>
      </c>
      <c r="T62" s="25">
        <v>1.9073259E-3</v>
      </c>
      <c r="U62" s="25">
        <v>8.8559761099999995E-2</v>
      </c>
      <c r="W62" s="25">
        <v>1.4191666999999999E-3</v>
      </c>
      <c r="X62" s="71"/>
      <c r="Y62" s="71"/>
    </row>
    <row r="63" spans="1:25" x14ac:dyDescent="0.2">
      <c r="A63" s="22">
        <v>45291</v>
      </c>
      <c r="B63" s="26">
        <v>-3.2351342733568998E-3</v>
      </c>
      <c r="C63" s="26">
        <v>1.3899999999999999E-2</v>
      </c>
      <c r="D63" s="26">
        <v>4.3428888633556997E-2</v>
      </c>
      <c r="E63" s="26">
        <v>2.35E-2</v>
      </c>
      <c r="F63" s="26">
        <v>3.7999999999999999E-2</v>
      </c>
      <c r="G63" s="26">
        <v>4.4000000000000003E-3</v>
      </c>
      <c r="H63" s="26">
        <v>-4.0692858599999999E-2</v>
      </c>
      <c r="I63" s="26">
        <v>7.1000000000000004E-3</v>
      </c>
      <c r="J63" s="26">
        <v>2.9999999999999997E-4</v>
      </c>
      <c r="L63" s="22">
        <v>45291</v>
      </c>
      <c r="M63" s="25">
        <v>1.3643104E-3</v>
      </c>
      <c r="N63" s="25">
        <v>7.4846723E-3</v>
      </c>
      <c r="O63" s="25">
        <v>2.7161273100000001E-2</v>
      </c>
      <c r="P63" s="25">
        <v>2.3522883299999998E-2</v>
      </c>
      <c r="Q63" s="25">
        <v>3.7668126099999998E-2</v>
      </c>
      <c r="R63" s="25">
        <v>5.7535790999999996E-3</v>
      </c>
      <c r="S63" s="25">
        <v>5.4803164000000001E-2</v>
      </c>
      <c r="T63" s="25">
        <v>-2.0200010000000001E-4</v>
      </c>
      <c r="U63" s="25">
        <v>8.14109742E-2</v>
      </c>
      <c r="W63" s="25">
        <v>1.4176667E-3</v>
      </c>
      <c r="X63" s="71"/>
      <c r="Y63" s="71"/>
    </row>
    <row r="64" spans="1:25" x14ac:dyDescent="0.2">
      <c r="A64" s="22">
        <v>45322</v>
      </c>
      <c r="B64" s="26">
        <v>5.6459463736069002E-4</v>
      </c>
      <c r="C64" s="26">
        <v>1.1999999999999999E-3</v>
      </c>
      <c r="D64" s="26">
        <v>1.6226221272131001E-2</v>
      </c>
      <c r="E64" s="26">
        <v>4.4000000000000003E-3</v>
      </c>
      <c r="F64" s="26">
        <v>2.6200000000000001E-2</v>
      </c>
      <c r="G64" s="26">
        <v>2.9700000000000001E-2</v>
      </c>
      <c r="H64" s="26">
        <v>-3.2145346399999997E-2</v>
      </c>
      <c r="I64" s="26">
        <v>2.8999999999999998E-3</v>
      </c>
      <c r="J64" s="26">
        <v>-3.1199999999999999E-3</v>
      </c>
      <c r="L64" s="22">
        <v>45322</v>
      </c>
      <c r="M64" s="25">
        <v>1.2985335000000001E-3</v>
      </c>
      <c r="N64" s="25">
        <v>3.1738281000000001E-3</v>
      </c>
      <c r="O64" s="25">
        <v>-6.0847812999999997E-3</v>
      </c>
      <c r="P64" s="25">
        <v>4.3938238999999997E-3</v>
      </c>
      <c r="Q64" s="25">
        <v>2.5903230900000001E-2</v>
      </c>
      <c r="R64" s="25">
        <v>2.9243758700000001E-2</v>
      </c>
      <c r="S64" s="25">
        <v>3.3545648099999999E-2</v>
      </c>
      <c r="T64" s="25">
        <v>5.456708E-4</v>
      </c>
      <c r="U64" s="25">
        <v>2.93746917E-2</v>
      </c>
      <c r="W64" s="25">
        <v>1.4208332999999999E-3</v>
      </c>
      <c r="X64" s="71"/>
      <c r="Y64" s="71"/>
    </row>
    <row r="65" spans="1:25" x14ac:dyDescent="0.2">
      <c r="A65" s="22">
        <v>45351</v>
      </c>
      <c r="B65" s="26">
        <v>4.683230654039E-4</v>
      </c>
      <c r="C65" s="26">
        <v>6.7999999999999996E-3</v>
      </c>
      <c r="D65" s="26">
        <v>-2.2182168651814001E-2</v>
      </c>
      <c r="E65" s="26">
        <v>-1.7600000000000001E-2</v>
      </c>
      <c r="F65" s="26">
        <v>-2.06E-2</v>
      </c>
      <c r="G65" s="26">
        <v>-4.5100000000000001E-2</v>
      </c>
      <c r="H65" s="26">
        <v>1.8918505499999998E-2</v>
      </c>
      <c r="I65" s="26">
        <v>2.8999999999999998E-3</v>
      </c>
      <c r="J65" s="26">
        <v>1E-3</v>
      </c>
      <c r="L65" s="22">
        <v>45351</v>
      </c>
      <c r="M65" s="25">
        <v>1.3932071000000001E-3</v>
      </c>
      <c r="N65" s="25">
        <v>4.8673643000000004E-3</v>
      </c>
      <c r="O65" s="25">
        <v>-5.0030724E-3</v>
      </c>
      <c r="P65" s="25">
        <v>-1.7575451799999999E-2</v>
      </c>
      <c r="Q65" s="25">
        <v>-2.07113214E-2</v>
      </c>
      <c r="R65" s="25">
        <v>-4.3846854999999997E-2</v>
      </c>
      <c r="S65" s="25">
        <v>3.9184692E-3</v>
      </c>
      <c r="T65" s="25">
        <v>2.6255177000000002E-3</v>
      </c>
      <c r="U65" s="25">
        <v>-2.8217004699999999E-2</v>
      </c>
      <c r="W65" s="25">
        <v>1.4207499999999999E-3</v>
      </c>
      <c r="X65" s="71"/>
      <c r="Y65" s="71"/>
    </row>
    <row r="66" spans="1:25" x14ac:dyDescent="0.2">
      <c r="A66" s="22">
        <v>45382</v>
      </c>
      <c r="B66" s="26">
        <v>-8.7992775407764003E-4</v>
      </c>
      <c r="C66" s="26">
        <v>-9.2800000000000001E-3</v>
      </c>
      <c r="D66" s="26">
        <v>-3.3377356522492997E-2</v>
      </c>
      <c r="E66" s="26">
        <v>-2.0199999999999999E-2</v>
      </c>
      <c r="F66" s="26">
        <v>-4.1200000000000001E-2</v>
      </c>
      <c r="G66" s="26">
        <v>7.0000000000000001E-3</v>
      </c>
      <c r="H66" s="26">
        <v>5.4319823199999999E-2</v>
      </c>
      <c r="I66" s="26">
        <v>4.0000000000000002E-4</v>
      </c>
      <c r="J66" s="26">
        <v>-2.4299999999999999E-2</v>
      </c>
      <c r="L66" s="22">
        <v>45382</v>
      </c>
      <c r="M66" s="25">
        <v>1.4115728000000001E-3</v>
      </c>
      <c r="N66" s="25">
        <v>-2.2604343000000001E-3</v>
      </c>
      <c r="O66" s="25">
        <v>-2.2740408399999999E-2</v>
      </c>
      <c r="P66" s="25">
        <v>-2.0191998199999998E-2</v>
      </c>
      <c r="Q66" s="25">
        <v>-4.16254109E-2</v>
      </c>
      <c r="R66" s="25">
        <v>8.6347824000000007E-3</v>
      </c>
      <c r="S66" s="25">
        <v>2.6013692000000001E-2</v>
      </c>
      <c r="T66" s="25">
        <v>3.0582999999999999E-4</v>
      </c>
      <c r="U66" s="25">
        <v>-5.80726456E-2</v>
      </c>
      <c r="W66" s="25">
        <v>1.4215E-3</v>
      </c>
      <c r="X66" s="71"/>
      <c r="Y66" s="71"/>
    </row>
    <row r="67" spans="1:25" x14ac:dyDescent="0.2">
      <c r="A67" s="22">
        <v>45412</v>
      </c>
      <c r="B67" s="26">
        <v>-1.0584951649959E-3</v>
      </c>
      <c r="C67" s="26">
        <v>5.1999999999999998E-3</v>
      </c>
      <c r="D67" s="26">
        <v>-1.3986601838664001E-2</v>
      </c>
      <c r="E67" s="26">
        <v>-5.2400000000000002E-2</v>
      </c>
      <c r="F67" s="26">
        <v>-2.8400000000000002E-2</v>
      </c>
      <c r="G67" s="26">
        <v>-4.2900000000000001E-2</v>
      </c>
      <c r="H67" s="26">
        <v>-5.3529210999999997E-3</v>
      </c>
      <c r="I67" s="26">
        <v>4.0000000000000002E-4</v>
      </c>
      <c r="J67" s="26">
        <v>-9.7000000000000003E-3</v>
      </c>
      <c r="L67" s="22">
        <v>45412</v>
      </c>
      <c r="M67" s="25">
        <v>1.4510154000000001E-3</v>
      </c>
      <c r="N67" s="25">
        <v>7.1203172000000002E-3</v>
      </c>
      <c r="O67" s="25">
        <v>-9.1373002000000002E-3</v>
      </c>
      <c r="P67" s="25">
        <v>-5.2362754599999999E-2</v>
      </c>
      <c r="Q67" s="25">
        <v>-2.8101496E-2</v>
      </c>
      <c r="R67" s="25">
        <v>-4.3844646600000002E-2</v>
      </c>
      <c r="S67" s="25">
        <v>-8.0575052300000005E-2</v>
      </c>
      <c r="T67" s="25">
        <v>2.0033757000000002E-3</v>
      </c>
      <c r="U67" s="25">
        <v>-4.5716279899999997E-2</v>
      </c>
      <c r="W67" s="25">
        <v>1.4191666999999999E-3</v>
      </c>
      <c r="X67" s="71"/>
      <c r="Y67" s="71"/>
    </row>
    <row r="68" spans="1:25" x14ac:dyDescent="0.2">
      <c r="A68" s="22">
        <v>45443</v>
      </c>
      <c r="B68" s="26">
        <v>-7.3826560298296E-4</v>
      </c>
      <c r="C68" s="26">
        <v>1.9800000000000002E-2</v>
      </c>
      <c r="D68" s="26">
        <v>5.5257397798286999E-2</v>
      </c>
      <c r="E68" s="26">
        <v>4.5499999999999999E-2</v>
      </c>
      <c r="F68" s="26">
        <v>7.8100000000000003E-2</v>
      </c>
      <c r="G68" s="26">
        <v>2.92E-2</v>
      </c>
      <c r="H68" s="26">
        <v>-4.4498088900000003E-2</v>
      </c>
      <c r="I68" s="26">
        <v>1.508E-2</v>
      </c>
      <c r="J68" s="26">
        <v>5.4100000000000002E-2</v>
      </c>
      <c r="L68" s="22">
        <v>45443</v>
      </c>
      <c r="M68" s="25">
        <v>1.3617670000000001E-3</v>
      </c>
      <c r="N68" s="25">
        <v>8.9981521999999998E-3</v>
      </c>
      <c r="O68" s="25">
        <v>2.7379633800000001E-2</v>
      </c>
      <c r="P68" s="25">
        <v>4.5542709000000001E-2</v>
      </c>
      <c r="Q68" s="25">
        <v>7.8025342299999995E-2</v>
      </c>
      <c r="R68" s="25">
        <v>3.1964828799999997E-2</v>
      </c>
      <c r="S68" s="25">
        <v>0.1256519019</v>
      </c>
      <c r="T68" s="25">
        <v>1.9073259E-3</v>
      </c>
      <c r="U68" s="25">
        <v>8.8559761099999995E-2</v>
      </c>
      <c r="W68" s="25">
        <v>1.4191666999999999E-3</v>
      </c>
      <c r="X68" s="71"/>
      <c r="Y68" s="71"/>
    </row>
    <row r="69" spans="1:25" x14ac:dyDescent="0.2">
      <c r="A69" s="22">
        <v>45473</v>
      </c>
      <c r="B69" s="26">
        <v>-3.2351342733568998E-3</v>
      </c>
      <c r="C69" s="26">
        <v>1.3899999999999999E-2</v>
      </c>
      <c r="D69" s="26">
        <v>4.3428888633556997E-2</v>
      </c>
      <c r="E69" s="26">
        <v>2.35E-2</v>
      </c>
      <c r="F69" s="26">
        <v>3.7999999999999999E-2</v>
      </c>
      <c r="G69" s="26">
        <v>4.4000000000000003E-3</v>
      </c>
      <c r="H69" s="26">
        <v>-4.0692858599999999E-2</v>
      </c>
      <c r="I69" s="26">
        <v>7.1000000000000004E-3</v>
      </c>
      <c r="J69" s="26">
        <v>2.9999999999999997E-4</v>
      </c>
      <c r="L69" s="22">
        <v>45473</v>
      </c>
      <c r="M69" s="25">
        <v>1.3643104E-3</v>
      </c>
      <c r="N69" s="25">
        <v>7.4846723E-3</v>
      </c>
      <c r="O69" s="25">
        <v>2.7161273100000001E-2</v>
      </c>
      <c r="P69" s="25">
        <v>2.3522883299999998E-2</v>
      </c>
      <c r="Q69" s="25">
        <v>3.7668126099999998E-2</v>
      </c>
      <c r="R69" s="25">
        <v>5.7535790999999996E-3</v>
      </c>
      <c r="S69" s="25">
        <v>5.4803164000000001E-2</v>
      </c>
      <c r="T69" s="25">
        <v>-2.0200010000000001E-4</v>
      </c>
      <c r="U69" s="25">
        <v>8.14109742E-2</v>
      </c>
      <c r="W69" s="25">
        <v>1.4176667E-3</v>
      </c>
      <c r="X69" s="71"/>
      <c r="Y69" s="71"/>
    </row>
    <row r="70" spans="1:25" s="16" customFormat="1" x14ac:dyDescent="0.2">
      <c r="A70" s="73"/>
      <c r="B70" s="75"/>
      <c r="C70" s="74"/>
      <c r="D70" s="74"/>
      <c r="E70" s="74"/>
      <c r="F70" s="74"/>
      <c r="G70" s="74"/>
      <c r="H70" s="74"/>
      <c r="I70" s="74"/>
      <c r="J70" s="74"/>
      <c r="L70" s="73"/>
      <c r="M70" s="72"/>
      <c r="N70" s="72"/>
      <c r="O70" s="72"/>
      <c r="P70" s="72"/>
      <c r="Q70" s="72"/>
      <c r="R70" s="72"/>
      <c r="S70" s="72"/>
      <c r="T70" s="72"/>
      <c r="U70" s="72"/>
    </row>
    <row r="71" spans="1:25" s="16" customFormat="1" x14ac:dyDescent="0.2">
      <c r="A71" s="73"/>
      <c r="B71" s="75"/>
      <c r="C71" s="74"/>
      <c r="D71" s="74"/>
      <c r="E71" s="74"/>
      <c r="F71" s="74"/>
      <c r="G71" s="74"/>
      <c r="H71" s="74"/>
      <c r="I71" s="74"/>
      <c r="J71" s="74"/>
      <c r="L71" s="73"/>
      <c r="M71" s="72"/>
      <c r="N71" s="72"/>
      <c r="O71" s="72"/>
      <c r="P71" s="72"/>
      <c r="Q71" s="72"/>
      <c r="R71" s="72"/>
      <c r="S71" s="72"/>
      <c r="T71" s="72"/>
      <c r="U71" s="72"/>
    </row>
    <row r="72" spans="1:25" s="16" customFormat="1" x14ac:dyDescent="0.2">
      <c r="A72" s="73"/>
      <c r="B72" s="75"/>
      <c r="C72" s="74"/>
      <c r="D72" s="74"/>
      <c r="E72" s="74"/>
      <c r="F72" s="74"/>
      <c r="G72" s="74"/>
      <c r="H72" s="74"/>
      <c r="I72" s="74"/>
      <c r="J72" s="74"/>
      <c r="L72" s="73"/>
      <c r="M72" s="72"/>
      <c r="N72" s="72"/>
      <c r="O72" s="72"/>
      <c r="P72" s="72"/>
      <c r="Q72" s="72"/>
      <c r="R72" s="72"/>
      <c r="S72" s="72"/>
      <c r="T72" s="72"/>
      <c r="U72" s="72"/>
    </row>
    <row r="73" spans="1:25" s="16" customFormat="1" x14ac:dyDescent="0.2">
      <c r="A73" s="73"/>
      <c r="B73" s="75"/>
      <c r="C73" s="74"/>
      <c r="D73" s="74"/>
      <c r="E73" s="74"/>
      <c r="F73" s="74"/>
      <c r="G73" s="74"/>
      <c r="H73" s="74"/>
      <c r="I73" s="74"/>
      <c r="J73" s="74"/>
      <c r="L73" s="73"/>
      <c r="M73" s="72"/>
      <c r="N73" s="72"/>
      <c r="O73" s="72"/>
      <c r="P73" s="72"/>
      <c r="Q73" s="72"/>
      <c r="R73" s="72"/>
      <c r="S73" s="72"/>
      <c r="T73" s="72"/>
      <c r="U73" s="72"/>
    </row>
    <row r="74" spans="1:25" s="16" customFormat="1" x14ac:dyDescent="0.2">
      <c r="A74" s="73"/>
      <c r="B74" s="75"/>
      <c r="C74" s="74"/>
      <c r="D74" s="74"/>
      <c r="E74" s="74"/>
      <c r="F74" s="74"/>
      <c r="G74" s="74"/>
      <c r="H74" s="74"/>
      <c r="I74" s="74"/>
      <c r="J74" s="74"/>
      <c r="L74" s="73"/>
      <c r="M74" s="72"/>
      <c r="N74" s="72"/>
      <c r="O74" s="72"/>
      <c r="P74" s="72"/>
      <c r="Q74" s="72"/>
      <c r="R74" s="72"/>
      <c r="S74" s="72"/>
      <c r="T74" s="72"/>
      <c r="U74" s="72"/>
    </row>
    <row r="75" spans="1:25" s="16" customFormat="1" x14ac:dyDescent="0.2">
      <c r="A75" s="73"/>
      <c r="B75" s="75"/>
      <c r="C75" s="74"/>
      <c r="D75" s="74"/>
      <c r="E75" s="74"/>
      <c r="F75" s="74"/>
      <c r="G75" s="74"/>
      <c r="H75" s="74"/>
      <c r="I75" s="74"/>
      <c r="J75" s="74"/>
      <c r="L75" s="73"/>
      <c r="M75" s="72"/>
      <c r="N75" s="72"/>
      <c r="O75" s="72"/>
      <c r="P75" s="72"/>
      <c r="Q75" s="72"/>
      <c r="R75" s="72"/>
      <c r="S75" s="72"/>
      <c r="T75" s="72"/>
      <c r="U75" s="72"/>
    </row>
    <row r="76" spans="1:25" s="16" customFormat="1" x14ac:dyDescent="0.2">
      <c r="A76" s="73"/>
      <c r="B76" s="75"/>
      <c r="C76" s="74"/>
      <c r="D76" s="74"/>
      <c r="E76" s="74"/>
      <c r="F76" s="74"/>
      <c r="G76" s="74"/>
      <c r="H76" s="74"/>
      <c r="I76" s="74"/>
      <c r="J76" s="74"/>
      <c r="L76" s="73"/>
      <c r="M76" s="72"/>
      <c r="N76" s="72"/>
      <c r="O76" s="72"/>
      <c r="P76" s="72"/>
      <c r="Q76" s="72"/>
      <c r="R76" s="72"/>
      <c r="S76" s="72"/>
      <c r="T76" s="72"/>
      <c r="U76" s="72"/>
    </row>
    <row r="77" spans="1:25" s="16" customFormat="1" x14ac:dyDescent="0.2">
      <c r="A77" s="73"/>
      <c r="B77" s="75"/>
      <c r="C77" s="74"/>
      <c r="D77" s="74"/>
      <c r="E77" s="74"/>
      <c r="F77" s="74"/>
      <c r="G77" s="74"/>
      <c r="H77" s="74"/>
      <c r="I77" s="74"/>
      <c r="J77" s="74"/>
      <c r="L77" s="73"/>
      <c r="M77" s="72"/>
      <c r="N77" s="72"/>
      <c r="O77" s="72"/>
      <c r="P77" s="72"/>
      <c r="Q77" s="72"/>
      <c r="R77" s="72"/>
      <c r="S77" s="72"/>
      <c r="T77" s="72"/>
      <c r="U77" s="72"/>
    </row>
    <row r="78" spans="1:25" s="16" customFormat="1" x14ac:dyDescent="0.2">
      <c r="A78" s="73"/>
      <c r="B78" s="75"/>
      <c r="C78" s="74"/>
      <c r="D78" s="74"/>
      <c r="E78" s="74"/>
      <c r="F78" s="74"/>
      <c r="G78" s="74"/>
      <c r="H78" s="74"/>
      <c r="I78" s="74"/>
      <c r="J78" s="74"/>
      <c r="L78" s="73"/>
      <c r="M78" s="72"/>
      <c r="N78" s="72"/>
      <c r="O78" s="72"/>
      <c r="P78" s="72"/>
      <c r="Q78" s="72"/>
      <c r="R78" s="72"/>
      <c r="S78" s="72"/>
      <c r="T78" s="72"/>
      <c r="U78" s="72"/>
    </row>
    <row r="79" spans="1:25" s="16" customFormat="1" x14ac:dyDescent="0.2">
      <c r="A79" s="73"/>
      <c r="B79" s="75"/>
      <c r="C79" s="74"/>
      <c r="D79" s="74"/>
      <c r="E79" s="74"/>
      <c r="F79" s="74"/>
      <c r="G79" s="74"/>
      <c r="H79" s="74"/>
      <c r="I79" s="74"/>
      <c r="J79" s="74"/>
      <c r="L79" s="73"/>
      <c r="M79" s="72"/>
      <c r="N79" s="72"/>
      <c r="O79" s="72"/>
      <c r="P79" s="72"/>
      <c r="Q79" s="72"/>
      <c r="R79" s="72"/>
      <c r="S79" s="72"/>
      <c r="T79" s="72"/>
      <c r="U79" s="72"/>
    </row>
    <row r="80" spans="1:25" s="16" customFormat="1" x14ac:dyDescent="0.2">
      <c r="A80" s="73"/>
      <c r="B80" s="75"/>
      <c r="C80" s="74"/>
      <c r="D80" s="74"/>
      <c r="E80" s="74"/>
      <c r="F80" s="74"/>
      <c r="G80" s="74"/>
      <c r="H80" s="74"/>
      <c r="I80" s="74"/>
      <c r="J80" s="74"/>
      <c r="L80" s="73"/>
      <c r="M80" s="72"/>
      <c r="N80" s="72"/>
      <c r="O80" s="72"/>
      <c r="P80" s="72"/>
      <c r="Q80" s="72"/>
      <c r="R80" s="72"/>
      <c r="S80" s="72"/>
      <c r="T80" s="72"/>
      <c r="U80" s="72"/>
    </row>
    <row r="81" spans="1:21" s="16" customFormat="1" x14ac:dyDescent="0.2">
      <c r="A81" s="73"/>
      <c r="B81" s="75"/>
      <c r="C81" s="74"/>
      <c r="D81" s="74"/>
      <c r="E81" s="74"/>
      <c r="F81" s="74"/>
      <c r="G81" s="74"/>
      <c r="H81" s="74"/>
      <c r="I81" s="74"/>
      <c r="J81" s="74"/>
      <c r="L81" s="73"/>
      <c r="M81" s="72"/>
      <c r="N81" s="72"/>
      <c r="O81" s="72"/>
      <c r="P81" s="72"/>
      <c r="Q81" s="72"/>
      <c r="R81" s="72"/>
      <c r="S81" s="72"/>
      <c r="T81" s="72"/>
      <c r="U81" s="72"/>
    </row>
    <row r="82" spans="1:21" s="16" customFormat="1" x14ac:dyDescent="0.2">
      <c r="A82" s="73"/>
      <c r="B82" s="75"/>
      <c r="C82" s="74"/>
      <c r="D82" s="74"/>
      <c r="E82" s="74"/>
      <c r="F82" s="74"/>
      <c r="G82" s="74"/>
      <c r="H82" s="74"/>
      <c r="I82" s="74"/>
      <c r="J82" s="74"/>
      <c r="L82" s="73"/>
      <c r="M82" s="72"/>
      <c r="N82" s="72"/>
      <c r="O82" s="72"/>
      <c r="P82" s="72"/>
      <c r="Q82" s="72"/>
      <c r="R82" s="72"/>
      <c r="S82" s="72"/>
      <c r="T82" s="72"/>
      <c r="U82" s="72"/>
    </row>
    <row r="83" spans="1:21" s="16" customFormat="1" x14ac:dyDescent="0.2">
      <c r="A83" s="73"/>
      <c r="B83" s="75"/>
      <c r="C83" s="74"/>
      <c r="D83" s="74"/>
      <c r="E83" s="74"/>
      <c r="F83" s="74"/>
      <c r="G83" s="74"/>
      <c r="H83" s="74"/>
      <c r="I83" s="74"/>
      <c r="J83" s="74"/>
      <c r="L83" s="73"/>
      <c r="M83" s="72"/>
      <c r="N83" s="72"/>
      <c r="O83" s="72"/>
      <c r="P83" s="72"/>
      <c r="Q83" s="72"/>
      <c r="R83" s="72"/>
      <c r="S83" s="72"/>
      <c r="T83" s="72"/>
      <c r="U83" s="72"/>
    </row>
    <row r="84" spans="1:21" s="16" customFormat="1" x14ac:dyDescent="0.2">
      <c r="A84" s="73"/>
      <c r="B84" s="75"/>
      <c r="C84" s="74"/>
      <c r="D84" s="74"/>
      <c r="E84" s="74"/>
      <c r="F84" s="74"/>
      <c r="G84" s="74"/>
      <c r="H84" s="74"/>
      <c r="I84" s="74"/>
      <c r="J84" s="74"/>
      <c r="L84" s="73"/>
      <c r="M84" s="72"/>
      <c r="N84" s="72"/>
      <c r="O84" s="72"/>
      <c r="P84" s="72"/>
      <c r="Q84" s="72"/>
      <c r="R84" s="72"/>
      <c r="S84" s="72"/>
      <c r="T84" s="72"/>
      <c r="U84" s="72"/>
    </row>
    <row r="85" spans="1:21" s="16" customFormat="1" x14ac:dyDescent="0.2">
      <c r="A85" s="73"/>
      <c r="B85" s="75"/>
      <c r="C85" s="74"/>
      <c r="D85" s="74"/>
      <c r="E85" s="74"/>
      <c r="F85" s="74"/>
      <c r="G85" s="74"/>
      <c r="H85" s="74"/>
      <c r="I85" s="74"/>
      <c r="J85" s="74"/>
      <c r="L85" s="73"/>
      <c r="M85" s="72"/>
      <c r="N85" s="72"/>
      <c r="O85" s="72"/>
      <c r="P85" s="72"/>
      <c r="Q85" s="72"/>
      <c r="R85" s="72"/>
      <c r="S85" s="72"/>
      <c r="T85" s="72"/>
      <c r="U85" s="72"/>
    </row>
    <row r="86" spans="1:21" s="16" customFormat="1" x14ac:dyDescent="0.2">
      <c r="A86" s="73"/>
      <c r="B86" s="75"/>
      <c r="C86" s="74"/>
      <c r="D86" s="74"/>
      <c r="E86" s="74"/>
      <c r="F86" s="74"/>
      <c r="G86" s="74"/>
      <c r="H86" s="74"/>
      <c r="I86" s="74"/>
      <c r="J86" s="74"/>
      <c r="L86" s="73"/>
      <c r="M86" s="72"/>
      <c r="N86" s="72"/>
      <c r="O86" s="72"/>
      <c r="P86" s="72"/>
      <c r="Q86" s="72"/>
      <c r="R86" s="72"/>
      <c r="S86" s="72"/>
      <c r="T86" s="72"/>
      <c r="U86" s="72"/>
    </row>
    <row r="87" spans="1:21" s="16" customFormat="1" x14ac:dyDescent="0.2">
      <c r="A87" s="73"/>
      <c r="B87" s="75"/>
      <c r="C87" s="74"/>
      <c r="D87" s="74"/>
      <c r="E87" s="74"/>
      <c r="F87" s="74"/>
      <c r="G87" s="74"/>
      <c r="H87" s="74"/>
      <c r="I87" s="74"/>
      <c r="J87" s="74"/>
      <c r="L87" s="73"/>
      <c r="M87" s="72"/>
      <c r="N87" s="72"/>
      <c r="O87" s="72"/>
      <c r="P87" s="72"/>
      <c r="Q87" s="72"/>
      <c r="R87" s="72"/>
      <c r="S87" s="72"/>
      <c r="T87" s="72"/>
      <c r="U87" s="72"/>
    </row>
    <row r="88" spans="1:21" s="16" customFormat="1" x14ac:dyDescent="0.2">
      <c r="A88" s="73"/>
      <c r="B88" s="75"/>
      <c r="C88" s="74"/>
      <c r="D88" s="74"/>
      <c r="E88" s="74"/>
      <c r="F88" s="74"/>
      <c r="G88" s="74"/>
      <c r="H88" s="74"/>
      <c r="I88" s="74"/>
      <c r="J88" s="74"/>
      <c r="L88" s="73"/>
      <c r="M88" s="72"/>
      <c r="N88" s="72"/>
      <c r="O88" s="72"/>
      <c r="P88" s="72"/>
      <c r="Q88" s="72"/>
      <c r="R88" s="72"/>
      <c r="S88" s="72"/>
      <c r="T88" s="72"/>
      <c r="U88" s="72"/>
    </row>
    <row r="89" spans="1:21" s="16" customFormat="1" x14ac:dyDescent="0.2">
      <c r="A89" s="73"/>
      <c r="B89" s="75"/>
      <c r="C89" s="74"/>
      <c r="D89" s="74"/>
      <c r="E89" s="74"/>
      <c r="F89" s="74"/>
      <c r="G89" s="74"/>
      <c r="H89" s="74"/>
      <c r="I89" s="74"/>
      <c r="J89" s="74"/>
      <c r="L89" s="73"/>
      <c r="M89" s="72"/>
      <c r="N89" s="72"/>
      <c r="O89" s="72"/>
      <c r="P89" s="72"/>
      <c r="Q89" s="72"/>
      <c r="R89" s="72"/>
      <c r="S89" s="72"/>
      <c r="T89" s="72"/>
      <c r="U89" s="72"/>
    </row>
    <row r="90" spans="1:21" s="16" customFormat="1" x14ac:dyDescent="0.2">
      <c r="A90" s="73"/>
      <c r="B90" s="75"/>
      <c r="C90" s="74"/>
      <c r="D90" s="74"/>
      <c r="E90" s="74"/>
      <c r="F90" s="74"/>
      <c r="G90" s="74"/>
      <c r="H90" s="74"/>
      <c r="I90" s="74"/>
      <c r="J90" s="74"/>
      <c r="L90" s="73"/>
      <c r="M90" s="72"/>
      <c r="N90" s="72"/>
      <c r="O90" s="72"/>
      <c r="P90" s="72"/>
      <c r="Q90" s="72"/>
      <c r="R90" s="72"/>
      <c r="S90" s="72"/>
      <c r="T90" s="72"/>
      <c r="U90" s="72"/>
    </row>
    <row r="91" spans="1:21" s="16" customFormat="1" x14ac:dyDescent="0.2">
      <c r="A91" s="73"/>
      <c r="B91" s="75"/>
      <c r="C91" s="74"/>
      <c r="D91" s="74"/>
      <c r="E91" s="74"/>
      <c r="F91" s="74"/>
      <c r="G91" s="74"/>
      <c r="H91" s="74"/>
      <c r="I91" s="74"/>
      <c r="J91" s="74"/>
      <c r="L91" s="73"/>
      <c r="M91" s="72"/>
      <c r="N91" s="72"/>
      <c r="O91" s="72"/>
      <c r="P91" s="72"/>
      <c r="Q91" s="72"/>
      <c r="R91" s="72"/>
      <c r="S91" s="72"/>
      <c r="T91" s="72"/>
      <c r="U91" s="72"/>
    </row>
    <row r="92" spans="1:21" s="16" customFormat="1" x14ac:dyDescent="0.2">
      <c r="A92" s="73"/>
      <c r="B92" s="75"/>
      <c r="C92" s="74"/>
      <c r="D92" s="74"/>
      <c r="E92" s="74"/>
      <c r="F92" s="74"/>
      <c r="G92" s="74"/>
      <c r="H92" s="74"/>
      <c r="I92" s="74"/>
      <c r="J92" s="74"/>
      <c r="L92" s="73"/>
      <c r="M92" s="72"/>
      <c r="N92" s="72"/>
      <c r="O92" s="72"/>
      <c r="P92" s="72"/>
      <c r="Q92" s="72"/>
      <c r="R92" s="72"/>
      <c r="S92" s="72"/>
      <c r="T92" s="72"/>
      <c r="U92" s="72"/>
    </row>
    <row r="93" spans="1:21" s="16" customFormat="1" x14ac:dyDescent="0.2">
      <c r="A93" s="73"/>
      <c r="B93" s="75"/>
      <c r="C93" s="74"/>
      <c r="D93" s="74"/>
      <c r="E93" s="74"/>
      <c r="F93" s="74"/>
      <c r="G93" s="74"/>
      <c r="H93" s="74"/>
      <c r="I93" s="74"/>
      <c r="J93" s="74"/>
      <c r="L93" s="73"/>
      <c r="M93" s="72"/>
      <c r="N93" s="72"/>
      <c r="O93" s="72"/>
      <c r="P93" s="72"/>
      <c r="Q93" s="72"/>
      <c r="R93" s="72"/>
      <c r="S93" s="72"/>
      <c r="T93" s="72"/>
      <c r="U93" s="72"/>
    </row>
    <row r="94" spans="1:21" s="16" customFormat="1" x14ac:dyDescent="0.2">
      <c r="A94" s="73"/>
      <c r="B94" s="75"/>
      <c r="C94" s="74"/>
      <c r="D94" s="74"/>
      <c r="E94" s="74"/>
      <c r="F94" s="74"/>
      <c r="G94" s="74"/>
      <c r="H94" s="74"/>
      <c r="I94" s="74"/>
      <c r="J94" s="74"/>
      <c r="L94" s="73"/>
      <c r="M94" s="72"/>
      <c r="N94" s="72"/>
      <c r="O94" s="72"/>
      <c r="P94" s="72"/>
      <c r="Q94" s="72"/>
      <c r="R94" s="72"/>
      <c r="S94" s="72"/>
      <c r="T94" s="72"/>
      <c r="U94" s="72"/>
    </row>
    <row r="95" spans="1:21" s="16" customFormat="1" x14ac:dyDescent="0.2">
      <c r="A95" s="73"/>
      <c r="B95" s="75"/>
      <c r="C95" s="74"/>
      <c r="D95" s="74"/>
      <c r="E95" s="74"/>
      <c r="F95" s="74"/>
      <c r="G95" s="74"/>
      <c r="H95" s="74"/>
      <c r="I95" s="74"/>
      <c r="J95" s="74"/>
      <c r="L95" s="73"/>
      <c r="M95" s="72"/>
      <c r="N95" s="72"/>
      <c r="O95" s="72"/>
      <c r="P95" s="72"/>
      <c r="Q95" s="72"/>
      <c r="R95" s="72"/>
      <c r="S95" s="72"/>
      <c r="T95" s="72"/>
      <c r="U95" s="72"/>
    </row>
    <row r="96" spans="1:21" s="16" customFormat="1" x14ac:dyDescent="0.2">
      <c r="A96" s="73"/>
      <c r="B96" s="75"/>
      <c r="C96" s="74"/>
      <c r="D96" s="74"/>
      <c r="E96" s="74"/>
      <c r="F96" s="74"/>
      <c r="G96" s="74"/>
      <c r="H96" s="74"/>
      <c r="I96" s="74"/>
      <c r="J96" s="74"/>
      <c r="L96" s="73"/>
      <c r="M96" s="72"/>
      <c r="N96" s="72"/>
      <c r="O96" s="72"/>
      <c r="P96" s="72"/>
      <c r="Q96" s="72"/>
      <c r="R96" s="72"/>
      <c r="S96" s="72"/>
      <c r="T96" s="72"/>
      <c r="U96" s="72"/>
    </row>
    <row r="97" spans="1:21" s="16" customFormat="1" x14ac:dyDescent="0.2">
      <c r="A97" s="73"/>
      <c r="B97" s="75"/>
      <c r="C97" s="74"/>
      <c r="D97" s="74"/>
      <c r="E97" s="74"/>
      <c r="F97" s="74"/>
      <c r="G97" s="74"/>
      <c r="H97" s="74"/>
      <c r="I97" s="74"/>
      <c r="J97" s="74"/>
      <c r="L97" s="73"/>
      <c r="M97" s="72"/>
      <c r="N97" s="72"/>
      <c r="O97" s="72"/>
      <c r="P97" s="72"/>
      <c r="Q97" s="72"/>
      <c r="R97" s="72"/>
      <c r="S97" s="72"/>
      <c r="T97" s="72"/>
      <c r="U97" s="72"/>
    </row>
    <row r="98" spans="1:21" s="16" customFormat="1" x14ac:dyDescent="0.2">
      <c r="A98" s="73"/>
      <c r="B98" s="75"/>
      <c r="C98" s="74"/>
      <c r="D98" s="74"/>
      <c r="E98" s="74"/>
      <c r="F98" s="74"/>
      <c r="G98" s="74"/>
      <c r="H98" s="74"/>
      <c r="I98" s="74"/>
      <c r="J98" s="74"/>
      <c r="L98" s="73"/>
      <c r="M98" s="72"/>
      <c r="N98" s="72"/>
      <c r="O98" s="72"/>
      <c r="P98" s="72"/>
      <c r="Q98" s="72"/>
      <c r="R98" s="72"/>
      <c r="S98" s="72"/>
      <c r="T98" s="72"/>
      <c r="U98" s="72"/>
    </row>
    <row r="99" spans="1:21" s="16" customFormat="1" x14ac:dyDescent="0.2">
      <c r="A99" s="73"/>
      <c r="B99" s="75"/>
      <c r="C99" s="74"/>
      <c r="D99" s="74"/>
      <c r="E99" s="74"/>
      <c r="F99" s="74"/>
      <c r="G99" s="74"/>
      <c r="H99" s="74"/>
      <c r="I99" s="74"/>
      <c r="J99" s="74"/>
      <c r="L99" s="73"/>
      <c r="M99" s="72"/>
      <c r="N99" s="72"/>
      <c r="O99" s="72"/>
      <c r="P99" s="72"/>
      <c r="Q99" s="72"/>
      <c r="R99" s="72"/>
      <c r="S99" s="72"/>
      <c r="T99" s="72"/>
      <c r="U99" s="72"/>
    </row>
    <row r="100" spans="1:21" s="16" customFormat="1" x14ac:dyDescent="0.2">
      <c r="A100" s="73"/>
      <c r="B100" s="75"/>
      <c r="C100" s="74"/>
      <c r="D100" s="74"/>
      <c r="E100" s="74"/>
      <c r="F100" s="74"/>
      <c r="G100" s="74"/>
      <c r="H100" s="74"/>
      <c r="I100" s="74"/>
      <c r="J100" s="74"/>
      <c r="L100" s="73"/>
      <c r="M100" s="72"/>
      <c r="N100" s="72"/>
      <c r="O100" s="72"/>
      <c r="P100" s="72"/>
      <c r="Q100" s="72"/>
      <c r="R100" s="72"/>
      <c r="S100" s="72"/>
      <c r="T100" s="72"/>
      <c r="U100" s="72"/>
    </row>
    <row r="101" spans="1:21" s="16" customFormat="1" x14ac:dyDescent="0.2">
      <c r="A101" s="73"/>
      <c r="B101" s="75"/>
      <c r="C101" s="74"/>
      <c r="D101" s="74"/>
      <c r="E101" s="74"/>
      <c r="F101" s="74"/>
      <c r="G101" s="74"/>
      <c r="H101" s="74"/>
      <c r="I101" s="74"/>
      <c r="J101" s="74"/>
      <c r="L101" s="73"/>
      <c r="M101" s="72"/>
      <c r="N101" s="72"/>
      <c r="O101" s="72"/>
      <c r="P101" s="72"/>
      <c r="Q101" s="72"/>
      <c r="R101" s="72"/>
      <c r="S101" s="72"/>
      <c r="T101" s="72"/>
      <c r="U101" s="72"/>
    </row>
    <row r="102" spans="1:21" s="16" customFormat="1" x14ac:dyDescent="0.2">
      <c r="A102" s="73"/>
      <c r="B102" s="75"/>
      <c r="C102" s="74"/>
      <c r="D102" s="74"/>
      <c r="E102" s="74"/>
      <c r="F102" s="74"/>
      <c r="G102" s="74"/>
      <c r="H102" s="74"/>
      <c r="I102" s="74"/>
      <c r="J102" s="74"/>
      <c r="L102" s="73"/>
      <c r="M102" s="72"/>
      <c r="N102" s="72"/>
      <c r="O102" s="72"/>
      <c r="P102" s="72"/>
      <c r="Q102" s="72"/>
      <c r="R102" s="72"/>
      <c r="S102" s="72"/>
      <c r="T102" s="72"/>
      <c r="U102" s="72"/>
    </row>
    <row r="103" spans="1:21" s="16" customFormat="1" x14ac:dyDescent="0.2">
      <c r="A103" s="73"/>
      <c r="B103" s="75"/>
      <c r="C103" s="74"/>
      <c r="D103" s="74"/>
      <c r="E103" s="74"/>
      <c r="F103" s="74"/>
      <c r="G103" s="74"/>
      <c r="H103" s="74"/>
      <c r="I103" s="74"/>
      <c r="J103" s="74"/>
      <c r="L103" s="73"/>
      <c r="M103" s="72"/>
      <c r="N103" s="72"/>
      <c r="O103" s="72"/>
      <c r="P103" s="72"/>
      <c r="Q103" s="72"/>
      <c r="R103" s="72"/>
      <c r="S103" s="72"/>
      <c r="T103" s="72"/>
      <c r="U103" s="72"/>
    </row>
    <row r="104" spans="1:21" s="16" customFormat="1" x14ac:dyDescent="0.2">
      <c r="B104" s="76"/>
      <c r="F104" s="77"/>
      <c r="G104" s="77"/>
      <c r="H104" s="77"/>
      <c r="I104" s="77"/>
      <c r="J104" s="77"/>
      <c r="L104" s="78"/>
      <c r="M104" s="74"/>
    </row>
    <row r="105" spans="1:21" s="16" customFormat="1" x14ac:dyDescent="0.2">
      <c r="B105" s="76"/>
      <c r="F105" s="77"/>
      <c r="G105" s="77"/>
      <c r="H105" s="77"/>
      <c r="I105" s="77"/>
      <c r="J105" s="77"/>
      <c r="L105" s="78"/>
      <c r="M105" s="72"/>
      <c r="N105" s="72"/>
      <c r="O105" s="72"/>
      <c r="P105" s="72"/>
      <c r="Q105" s="72"/>
      <c r="R105" s="72"/>
      <c r="S105" s="72"/>
      <c r="T105" s="72"/>
      <c r="U105" s="72"/>
    </row>
    <row r="106" spans="1:21" s="16" customFormat="1" x14ac:dyDescent="0.2">
      <c r="B106" s="76"/>
      <c r="F106" s="77"/>
      <c r="G106" s="77"/>
      <c r="H106" s="77"/>
      <c r="I106" s="77"/>
      <c r="J106" s="77"/>
      <c r="L106" s="78"/>
      <c r="M106" s="72"/>
      <c r="N106" s="72"/>
      <c r="O106" s="72"/>
      <c r="P106" s="72"/>
      <c r="Q106" s="72"/>
      <c r="R106" s="72"/>
      <c r="S106" s="72"/>
      <c r="T106" s="72"/>
      <c r="U106" s="72"/>
    </row>
    <row r="107" spans="1:21" s="16" customFormat="1" x14ac:dyDescent="0.2">
      <c r="B107" s="76"/>
      <c r="F107" s="77"/>
      <c r="G107" s="77"/>
      <c r="H107" s="77"/>
      <c r="I107" s="77"/>
      <c r="J107" s="77"/>
      <c r="L107" s="78"/>
      <c r="M107" s="74"/>
    </row>
    <row r="108" spans="1:21" s="16" customFormat="1" x14ac:dyDescent="0.2">
      <c r="B108" s="76"/>
      <c r="F108" s="77"/>
      <c r="G108" s="77"/>
      <c r="H108" s="77"/>
      <c r="I108" s="77"/>
      <c r="J108" s="77"/>
      <c r="L108" s="78"/>
      <c r="M108" s="74"/>
    </row>
    <row r="109" spans="1:21" s="16" customFormat="1" x14ac:dyDescent="0.2">
      <c r="B109" s="76"/>
      <c r="F109" s="77"/>
      <c r="G109" s="77"/>
      <c r="H109" s="77"/>
      <c r="I109" s="77"/>
      <c r="J109" s="77"/>
      <c r="L109" s="78"/>
    </row>
    <row r="110" spans="1:21" s="16" customFormat="1" x14ac:dyDescent="0.2">
      <c r="B110" s="76"/>
      <c r="F110" s="77"/>
      <c r="G110" s="77"/>
      <c r="H110" s="77"/>
      <c r="I110" s="77"/>
      <c r="J110" s="77"/>
      <c r="L110" s="78"/>
    </row>
    <row r="111" spans="1:21" x14ac:dyDescent="0.2">
      <c r="A111" s="5"/>
      <c r="B111" s="6"/>
      <c r="F111" s="21"/>
      <c r="G111" s="21"/>
      <c r="H111" s="21"/>
      <c r="I111" s="21"/>
      <c r="J111" s="21"/>
    </row>
    <row r="112" spans="1:21" x14ac:dyDescent="0.2">
      <c r="A112" s="5"/>
      <c r="B112" s="6"/>
      <c r="F112" s="21"/>
      <c r="G112" s="21"/>
      <c r="H112" s="21"/>
      <c r="I112" s="21"/>
      <c r="J112" s="21"/>
    </row>
    <row r="113" spans="1:12" x14ac:dyDescent="0.2">
      <c r="A113" s="5"/>
      <c r="B113" s="6"/>
      <c r="F113" s="21"/>
      <c r="G113" s="21"/>
      <c r="H113" s="21"/>
      <c r="I113" s="21"/>
      <c r="J113" s="21"/>
    </row>
    <row r="114" spans="1:12" x14ac:dyDescent="0.2">
      <c r="A114" s="5"/>
      <c r="B114" s="6"/>
      <c r="F114" s="21"/>
      <c r="G114" s="21"/>
      <c r="H114" s="21"/>
      <c r="I114" s="21"/>
      <c r="J114" s="21"/>
    </row>
    <row r="115" spans="1:12" x14ac:dyDescent="0.2">
      <c r="A115" s="5"/>
      <c r="B115" s="6"/>
      <c r="F115" s="21"/>
      <c r="G115" s="21"/>
      <c r="H115" s="21"/>
      <c r="I115" s="21"/>
      <c r="J115" s="21"/>
    </row>
    <row r="116" spans="1:12" x14ac:dyDescent="0.2">
      <c r="A116" s="5"/>
      <c r="B116" s="6"/>
      <c r="F116" s="21"/>
      <c r="G116" s="21"/>
      <c r="H116" s="21"/>
      <c r="I116" s="21"/>
      <c r="J116" s="21"/>
    </row>
    <row r="117" spans="1:12" x14ac:dyDescent="0.2">
      <c r="A117" s="5"/>
      <c r="B117" s="6"/>
      <c r="F117" s="21"/>
      <c r="G117" s="21"/>
      <c r="H117" s="21"/>
      <c r="I117" s="21"/>
      <c r="J117" s="21"/>
      <c r="L117" s="5"/>
    </row>
    <row r="118" spans="1:12" x14ac:dyDescent="0.2">
      <c r="A118" s="5"/>
      <c r="B118" s="6"/>
      <c r="F118" s="21"/>
      <c r="G118" s="21"/>
      <c r="H118" s="21"/>
      <c r="I118" s="21"/>
      <c r="J118" s="21"/>
      <c r="L118" s="5"/>
    </row>
  </sheetData>
  <phoneticPr fontId="28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AM106"/>
  <sheetViews>
    <sheetView zoomScale="115" zoomScaleNormal="115" workbookViewId="0">
      <pane ySplit="3" topLeftCell="A53" activePane="bottomLeft" state="frozen"/>
      <selection pane="bottomLeft" activeCell="B64" sqref="B64"/>
    </sheetView>
  </sheetViews>
  <sheetFormatPr baseColWidth="10" defaultColWidth="11.42578125" defaultRowHeight="12.75" x14ac:dyDescent="0.2"/>
  <cols>
    <col min="1" max="10" width="14.5703125" style="5" customWidth="1"/>
    <col min="11" max="12" width="14.28515625" style="16" customWidth="1"/>
    <col min="13" max="13" width="14.28515625" style="16" bestFit="1" customWidth="1"/>
    <col min="14" max="15" width="11.42578125" style="16"/>
    <col min="16" max="16" width="15.28515625" style="16" bestFit="1" customWidth="1"/>
    <col min="17" max="19" width="11.42578125" style="16"/>
    <col min="20" max="20" width="12.28515625" style="16" bestFit="1" customWidth="1"/>
    <col min="21" max="39" width="11.42578125" style="16"/>
    <col min="40" max="16384" width="11.42578125" style="5"/>
  </cols>
  <sheetData>
    <row r="1" spans="1:26" s="79" customFormat="1" ht="40.15" customHeight="1" x14ac:dyDescent="0.2">
      <c r="A1" s="8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50</v>
      </c>
      <c r="H1" s="9" t="s">
        <v>52</v>
      </c>
      <c r="I1" s="9" t="s">
        <v>51</v>
      </c>
      <c r="J1" s="9" t="s">
        <v>91</v>
      </c>
    </row>
    <row r="2" spans="1:26" s="16" customFormat="1" x14ac:dyDescent="0.2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pans="1:26" s="16" customFormat="1" x14ac:dyDescent="0.2">
      <c r="A3" s="10" t="s">
        <v>23</v>
      </c>
      <c r="B3" s="11"/>
      <c r="C3" s="11"/>
      <c r="D3" s="11"/>
      <c r="E3" s="11"/>
      <c r="F3" s="11"/>
      <c r="G3" s="11"/>
      <c r="H3" s="11"/>
      <c r="I3" s="11"/>
      <c r="J3" s="11"/>
      <c r="Q3" s="194"/>
      <c r="R3" s="194"/>
      <c r="S3" s="194"/>
      <c r="T3" s="194"/>
      <c r="U3" s="194"/>
      <c r="V3" s="194"/>
      <c r="W3" s="194"/>
      <c r="X3" s="194"/>
    </row>
    <row r="4" spans="1:26" s="16" customFormat="1" x14ac:dyDescent="0.2">
      <c r="A4" s="22">
        <v>43465</v>
      </c>
      <c r="B4" s="27">
        <v>15000000</v>
      </c>
      <c r="C4" s="27">
        <v>192050000</v>
      </c>
      <c r="D4" s="27">
        <v>97275000</v>
      </c>
      <c r="E4" s="27">
        <v>136940000</v>
      </c>
      <c r="F4" s="27">
        <v>154260000</v>
      </c>
      <c r="G4" s="27">
        <v>112305000</v>
      </c>
      <c r="H4" s="27">
        <v>76926300</v>
      </c>
      <c r="I4" s="27">
        <v>152568000</v>
      </c>
      <c r="J4" s="27">
        <v>36489000</v>
      </c>
      <c r="K4" s="9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s="16" customFormat="1" x14ac:dyDescent="0.2">
      <c r="A5" s="22">
        <v>43496</v>
      </c>
      <c r="B5" s="27">
        <v>15003000</v>
      </c>
      <c r="C5" s="27">
        <v>193202300</v>
      </c>
      <c r="D5" s="27">
        <v>101647390.41813718</v>
      </c>
      <c r="E5" s="27">
        <v>146443636</v>
      </c>
      <c r="F5" s="27">
        <v>165212460</v>
      </c>
      <c r="G5" s="27">
        <v>122906592</v>
      </c>
      <c r="H5" s="27">
        <v>77408100.055807292</v>
      </c>
      <c r="I5" s="27">
        <v>153086731.20000002</v>
      </c>
      <c r="J5" s="27">
        <v>37241277.696235515</v>
      </c>
      <c r="K5" s="80"/>
      <c r="L5" s="24"/>
      <c r="M5" s="81" t="s">
        <v>40</v>
      </c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s="16" customFormat="1" x14ac:dyDescent="0.2">
      <c r="A6" s="22">
        <v>43524</v>
      </c>
      <c r="B6" s="27">
        <v>14980495.5</v>
      </c>
      <c r="C6" s="27">
        <v>193182979.77000001</v>
      </c>
      <c r="D6" s="27">
        <v>102317985.78960451</v>
      </c>
      <c r="E6" s="27">
        <v>152711423.62079999</v>
      </c>
      <c r="F6" s="27">
        <v>170334046.25999999</v>
      </c>
      <c r="G6" s="27">
        <v>123693194.18879999</v>
      </c>
      <c r="H6" s="27">
        <v>77560176.612960115</v>
      </c>
      <c r="I6" s="27">
        <v>153607226.08608001</v>
      </c>
      <c r="J6" s="27">
        <v>38272374.372701362</v>
      </c>
      <c r="K6" s="80"/>
      <c r="L6" s="80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s="16" customFormat="1" x14ac:dyDescent="0.2">
      <c r="A7" s="22">
        <v>43555</v>
      </c>
      <c r="B7" s="27">
        <v>14967013.05405</v>
      </c>
      <c r="C7" s="27">
        <v>195810268.29487202</v>
      </c>
      <c r="D7" s="27">
        <v>102980833.11733639</v>
      </c>
      <c r="E7" s="27">
        <v>156529209.21131998</v>
      </c>
      <c r="F7" s="27">
        <v>172701689.503014</v>
      </c>
      <c r="G7" s="27">
        <v>124707478.38114814</v>
      </c>
      <c r="H7" s="27">
        <v>76692129.026393324</v>
      </c>
      <c r="I7" s="27">
        <v>154129490.6547727</v>
      </c>
      <c r="J7" s="27">
        <v>38227865.997699529</v>
      </c>
      <c r="K7" s="80"/>
      <c r="L7" s="80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s="16" customFormat="1" x14ac:dyDescent="0.2">
      <c r="A8" s="22">
        <v>43585</v>
      </c>
      <c r="B8" s="27">
        <v>14993953.677547291</v>
      </c>
      <c r="C8" s="27">
        <v>195105351.32901046</v>
      </c>
      <c r="D8" s="27">
        <v>103099619.27676433</v>
      </c>
      <c r="E8" s="27">
        <v>163400841.49569693</v>
      </c>
      <c r="F8" s="27">
        <v>178970760.8319734</v>
      </c>
      <c r="G8" s="27">
        <v>130269431.91694735</v>
      </c>
      <c r="H8" s="27">
        <v>78375094.727577865</v>
      </c>
      <c r="I8" s="27">
        <v>154653530.92299893</v>
      </c>
      <c r="J8" s="27">
        <v>38070040.853056736</v>
      </c>
      <c r="K8" s="80"/>
      <c r="L8" s="80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s="16" customFormat="1" x14ac:dyDescent="0.2">
      <c r="A9" s="22">
        <v>43616</v>
      </c>
      <c r="B9" s="27">
        <v>14972962.142398726</v>
      </c>
      <c r="C9" s="27">
        <v>197992910.52867979</v>
      </c>
      <c r="D9" s="27">
        <v>102840371.26105291</v>
      </c>
      <c r="E9" s="27">
        <v>160753747.86346665</v>
      </c>
      <c r="F9" s="27">
        <v>168214618.10597178</v>
      </c>
      <c r="G9" s="27">
        <v>119326799.63592377</v>
      </c>
      <c r="H9" s="27">
        <v>77364373.205275491</v>
      </c>
      <c r="I9" s="27">
        <v>155179352.92813715</v>
      </c>
      <c r="J9" s="27">
        <v>37136904.917172402</v>
      </c>
      <c r="K9" s="80"/>
      <c r="L9" s="80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 spans="1:26" s="16" customFormat="1" x14ac:dyDescent="0.2">
      <c r="A10" s="22">
        <v>43646</v>
      </c>
      <c r="B10" s="27">
        <v>14895102.739258254</v>
      </c>
      <c r="C10" s="27">
        <v>198824480.75290024</v>
      </c>
      <c r="D10" s="27">
        <v>105945097.22238083</v>
      </c>
      <c r="E10" s="27">
        <v>166830239.53270569</v>
      </c>
      <c r="F10" s="27">
        <v>177668279.64352739</v>
      </c>
      <c r="G10" s="27">
        <v>122775344.14540195</v>
      </c>
      <c r="H10" s="27">
        <v>76792434.099136651</v>
      </c>
      <c r="I10" s="27">
        <v>155706962.72809282</v>
      </c>
      <c r="J10" s="27">
        <v>37270423.29382541</v>
      </c>
      <c r="K10" s="80"/>
      <c r="L10" s="80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spans="1:26" s="16" customFormat="1" x14ac:dyDescent="0.2">
      <c r="A11" s="22">
        <v>43677</v>
      </c>
      <c r="B11" s="27">
        <v>14887655.187888626</v>
      </c>
      <c r="C11" s="27">
        <v>201826730.41226903</v>
      </c>
      <c r="D11" s="27">
        <v>107079206.8240623</v>
      </c>
      <c r="E11" s="27">
        <v>168064783.30524772</v>
      </c>
      <c r="F11" s="27">
        <v>179409428.78403395</v>
      </c>
      <c r="G11" s="27">
        <v>123094560.04018</v>
      </c>
      <c r="H11" s="27">
        <v>77947955.119737178</v>
      </c>
      <c r="I11" s="27">
        <v>156236366.40136835</v>
      </c>
      <c r="J11" s="27">
        <v>37509257.448612742</v>
      </c>
      <c r="K11" s="80"/>
      <c r="L11" s="80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s="16" customFormat="1" x14ac:dyDescent="0.2">
      <c r="A12" s="22">
        <v>43708</v>
      </c>
      <c r="B12" s="27">
        <v>14878722.594775893</v>
      </c>
      <c r="C12" s="27">
        <v>206589841.2499986</v>
      </c>
      <c r="D12" s="27">
        <v>107534767.49058276</v>
      </c>
      <c r="E12" s="27">
        <v>168014363.87025616</v>
      </c>
      <c r="F12" s="27">
        <v>175372716.63639319</v>
      </c>
      <c r="G12" s="27">
        <v>116915213.12616296</v>
      </c>
      <c r="H12" s="27">
        <v>78004421.148472011</v>
      </c>
      <c r="I12" s="27">
        <v>156767570.047133</v>
      </c>
      <c r="J12" s="27">
        <v>37951913.003991291</v>
      </c>
      <c r="K12" s="80"/>
      <c r="L12" s="80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spans="1:26" s="16" customFormat="1" x14ac:dyDescent="0.2">
      <c r="A13" s="22">
        <v>43738</v>
      </c>
      <c r="B13" s="27">
        <v>14865331.744440595</v>
      </c>
      <c r="C13" s="27">
        <v>202643975.28212363</v>
      </c>
      <c r="D13" s="27">
        <v>106682956.50077574</v>
      </c>
      <c r="E13" s="27">
        <v>170400167.83721378</v>
      </c>
      <c r="F13" s="27">
        <v>179125692.77241203</v>
      </c>
      <c r="G13" s="27">
        <v>120083615.40188196</v>
      </c>
      <c r="H13" s="27">
        <v>81282839.14383094</v>
      </c>
      <c r="I13" s="27">
        <v>157300579.78529325</v>
      </c>
      <c r="J13" s="27">
        <v>38588579.751350798</v>
      </c>
      <c r="K13" s="80"/>
      <c r="L13" s="80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spans="1:26" s="16" customFormat="1" x14ac:dyDescent="0.2">
      <c r="A14" s="22">
        <v>43769</v>
      </c>
      <c r="B14" s="27">
        <v>14854926.012219485</v>
      </c>
      <c r="C14" s="27">
        <v>199340878.48502502</v>
      </c>
      <c r="D14" s="27">
        <v>106686245.90368046</v>
      </c>
      <c r="E14" s="27">
        <v>171848569.2638301</v>
      </c>
      <c r="F14" s="27">
        <v>182135004.41098854</v>
      </c>
      <c r="G14" s="27">
        <v>123950307.81782256</v>
      </c>
      <c r="H14" s="27">
        <v>80408280.638385683</v>
      </c>
      <c r="I14" s="27">
        <v>157835401.75656325</v>
      </c>
      <c r="J14" s="27">
        <v>38761171.133734614</v>
      </c>
      <c r="K14" s="80"/>
      <c r="L14" s="80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spans="1:26" s="16" customFormat="1" x14ac:dyDescent="0.2">
      <c r="A15" s="22">
        <v>43799</v>
      </c>
      <c r="B15" s="27">
        <v>14848984.041814597</v>
      </c>
      <c r="C15" s="27">
        <v>200935605.51290521</v>
      </c>
      <c r="D15" s="27">
        <v>106058145.69699295</v>
      </c>
      <c r="E15" s="27">
        <v>176574404.91858545</v>
      </c>
      <c r="F15" s="27">
        <v>187635481.54420039</v>
      </c>
      <c r="G15" s="27">
        <v>125338551.26538219</v>
      </c>
      <c r="H15" s="27">
        <v>81429383.150821507</v>
      </c>
      <c r="I15" s="27">
        <v>158372042.12253559</v>
      </c>
      <c r="J15" s="27">
        <v>38658435.940303959</v>
      </c>
      <c r="K15" s="80"/>
      <c r="L15" s="80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spans="1:26" s="16" customFormat="1" x14ac:dyDescent="0.2">
      <c r="A16" s="22">
        <v>43830</v>
      </c>
      <c r="B16" s="27">
        <v>14795527.699264064</v>
      </c>
      <c r="C16" s="27">
        <v>198624846.04950681</v>
      </c>
      <c r="D16" s="27">
        <v>107943196.38241763</v>
      </c>
      <c r="E16" s="27">
        <v>178816899.86105147</v>
      </c>
      <c r="F16" s="27">
        <v>191406954.72323883</v>
      </c>
      <c r="G16" s="27">
        <v>130552634.99802209</v>
      </c>
      <c r="H16" s="27">
        <v>78591900.508604228</v>
      </c>
      <c r="I16" s="27">
        <v>160921832.0007084</v>
      </c>
      <c r="J16" s="27">
        <v>38571366.505655035</v>
      </c>
      <c r="K16" s="80"/>
      <c r="L16" s="80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spans="1:26" s="16" customFormat="1" x14ac:dyDescent="0.2">
      <c r="A17" s="22">
        <v>43861</v>
      </c>
      <c r="B17" s="27">
        <v>14777773.066024948</v>
      </c>
      <c r="C17" s="27">
        <v>203014455.14720091</v>
      </c>
      <c r="D17" s="27">
        <v>109283429.14913626</v>
      </c>
      <c r="E17" s="27">
        <v>179281823.8006902</v>
      </c>
      <c r="F17" s="27">
        <v>190469060.64509496</v>
      </c>
      <c r="G17" s="27">
        <v>123541958.49862832</v>
      </c>
      <c r="H17" s="27">
        <v>78255086.721839383</v>
      </c>
      <c r="I17" s="27">
        <v>161452874.04631075</v>
      </c>
      <c r="J17" s="27">
        <v>38947616.34313979</v>
      </c>
      <c r="K17" s="80"/>
      <c r="L17" s="80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spans="1:26" s="16" customFormat="1" x14ac:dyDescent="0.2">
      <c r="A18" s="22">
        <v>43890</v>
      </c>
      <c r="B18" s="27">
        <v>14754128.629119307</v>
      </c>
      <c r="C18" s="27">
        <v>204760379.46146682</v>
      </c>
      <c r="D18" s="27">
        <v>108142383.29582141</v>
      </c>
      <c r="E18" s="27">
        <v>165763974.28611815</v>
      </c>
      <c r="F18" s="27">
        <v>174736316.2358101</v>
      </c>
      <c r="G18" s="27">
        <v>117760194.84089252</v>
      </c>
      <c r="H18" s="27">
        <v>78429880.304187626</v>
      </c>
      <c r="I18" s="27">
        <v>162001813.81806821</v>
      </c>
      <c r="J18" s="27">
        <v>40310651.189117894</v>
      </c>
      <c r="K18" s="80"/>
      <c r="L18" s="80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spans="1:26" s="16" customFormat="1" x14ac:dyDescent="0.2">
      <c r="A19" s="22">
        <v>43921</v>
      </c>
      <c r="B19" s="27">
        <v>14817571.382224519</v>
      </c>
      <c r="C19" s="27">
        <v>194706644.82990879</v>
      </c>
      <c r="D19" s="27">
        <v>93590417.348165557</v>
      </c>
      <c r="E19" s="27">
        <v>157774150.72552726</v>
      </c>
      <c r="F19" s="27">
        <v>151775964.28242466</v>
      </c>
      <c r="G19" s="27">
        <v>99719332.991267785</v>
      </c>
      <c r="H19" s="27">
        <v>82623581.712796524</v>
      </c>
      <c r="I19" s="27">
        <v>162552619.98504964</v>
      </c>
      <c r="J19" s="27">
        <v>38716240.668245554</v>
      </c>
      <c r="K19" s="80"/>
      <c r="L19" s="80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spans="1:26" s="16" customFormat="1" x14ac:dyDescent="0.2">
      <c r="A20" s="22">
        <v>43951</v>
      </c>
      <c r="B20" s="27">
        <v>14811644.353671629</v>
      </c>
      <c r="C20" s="27">
        <v>198133481.7789152</v>
      </c>
      <c r="D20" s="27">
        <v>95792765.640599295</v>
      </c>
      <c r="E20" s="27">
        <v>165962629.14818212</v>
      </c>
      <c r="F20" s="27">
        <v>167727618.12850749</v>
      </c>
      <c r="G20" s="27">
        <v>108544493.96099499</v>
      </c>
      <c r="H20" s="27">
        <v>82378870.699981779</v>
      </c>
      <c r="I20" s="27">
        <v>163105298.89299881</v>
      </c>
      <c r="J20" s="27">
        <v>37671612.723446183</v>
      </c>
      <c r="K20" s="80"/>
      <c r="L20" s="80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spans="1:26" s="16" customFormat="1" x14ac:dyDescent="0.2">
      <c r="A21" s="22">
        <v>43982</v>
      </c>
      <c r="B21" s="27">
        <v>14767209.420610614</v>
      </c>
      <c r="C21" s="27">
        <v>198074041.73438153</v>
      </c>
      <c r="D21" s="27">
        <v>101150831.30943522</v>
      </c>
      <c r="E21" s="27">
        <v>170692564.07890531</v>
      </c>
      <c r="F21" s="27">
        <v>175644361.70417303</v>
      </c>
      <c r="G21" s="27">
        <v>108935254.13925457</v>
      </c>
      <c r="H21" s="27">
        <v>82000375.368549615</v>
      </c>
      <c r="I21" s="27">
        <v>163659856.90923503</v>
      </c>
      <c r="J21" s="27">
        <v>38409829.666975155</v>
      </c>
      <c r="K21" s="80"/>
      <c r="L21" s="80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spans="1:26" s="16" customFormat="1" x14ac:dyDescent="0.2">
      <c r="A22" s="22">
        <v>44012</v>
      </c>
      <c r="B22" s="27">
        <v>14733244.838943209</v>
      </c>
      <c r="C22" s="27">
        <v>198153271.35107526</v>
      </c>
      <c r="D22" s="27">
        <v>104247002.64248399</v>
      </c>
      <c r="E22" s="27">
        <v>173355368.07853624</v>
      </c>
      <c r="F22" s="27">
        <v>179684182.02336898</v>
      </c>
      <c r="G22" s="27">
        <v>115362434.13347058</v>
      </c>
      <c r="H22" s="27">
        <v>73982728.208012924</v>
      </c>
      <c r="I22" s="27">
        <v>164216300.42272645</v>
      </c>
      <c r="J22" s="27">
        <v>37850513.734424025</v>
      </c>
      <c r="K22" s="80"/>
      <c r="L22" s="80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spans="1:26" s="16" customFormat="1" x14ac:dyDescent="0.2">
      <c r="A23" s="22">
        <v>44043</v>
      </c>
      <c r="B23" s="27">
        <v>14603592.284360509</v>
      </c>
      <c r="C23" s="27">
        <v>200154619.39172113</v>
      </c>
      <c r="D23" s="27">
        <v>107781372.90732256</v>
      </c>
      <c r="E23" s="27">
        <v>172973986.26876345</v>
      </c>
      <c r="F23" s="27">
        <v>185577823.19373548</v>
      </c>
      <c r="G23" s="27">
        <v>120738323.56409031</v>
      </c>
      <c r="H23" s="27">
        <v>71071742.75558795</v>
      </c>
      <c r="I23" s="27">
        <v>164774635.84416375</v>
      </c>
      <c r="J23" s="27">
        <v>37479769.194352344</v>
      </c>
      <c r="K23" s="80"/>
      <c r="L23" s="80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spans="1:26" s="16" customFormat="1" x14ac:dyDescent="0.2">
      <c r="A24" s="22">
        <v>44074</v>
      </c>
      <c r="B24" s="27">
        <v>14587528.332847713</v>
      </c>
      <c r="C24" s="27">
        <v>198133057.73586476</v>
      </c>
      <c r="D24" s="27">
        <v>108323576.74988523</v>
      </c>
      <c r="E24" s="27">
        <v>176398871.19688499</v>
      </c>
      <c r="F24" s="27">
        <v>197213552.70798269</v>
      </c>
      <c r="G24" s="27">
        <v>122211331.11157221</v>
      </c>
      <c r="H24" s="27">
        <v>70312735.227307856</v>
      </c>
      <c r="I24" s="27">
        <v>165334869.60603392</v>
      </c>
      <c r="J24" s="27">
        <v>37761681.345071442</v>
      </c>
      <c r="K24" s="80"/>
      <c r="L24" s="80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spans="1:26" s="16" customFormat="1" x14ac:dyDescent="0.2">
      <c r="A25" s="22">
        <v>44104</v>
      </c>
      <c r="B25" s="27">
        <v>14587528.332847713</v>
      </c>
      <c r="C25" s="27">
        <v>199896441.94971395</v>
      </c>
      <c r="D25" s="27">
        <v>106090539.68361209</v>
      </c>
      <c r="E25" s="27">
        <v>177333785.21422848</v>
      </c>
      <c r="F25" s="27">
        <v>191060489.86349362</v>
      </c>
      <c r="G25" s="27">
        <v>122700176.4360185</v>
      </c>
      <c r="H25" s="27">
        <v>76734382.520724565</v>
      </c>
      <c r="I25" s="27">
        <v>165897008.16269445</v>
      </c>
      <c r="J25" s="27">
        <v>37772742.545108974</v>
      </c>
      <c r="K25" s="80"/>
      <c r="L25" s="80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spans="1:26" s="16" customFormat="1" x14ac:dyDescent="0.2">
      <c r="A26" s="22">
        <v>44135</v>
      </c>
      <c r="B26" s="27">
        <v>14572940.804514864</v>
      </c>
      <c r="C26" s="27">
        <v>200116328.03585866</v>
      </c>
      <c r="D26" s="27">
        <v>106094300.2467538</v>
      </c>
      <c r="E26" s="27">
        <v>167154825.94293177</v>
      </c>
      <c r="F26" s="27">
        <v>185328675.1675888</v>
      </c>
      <c r="G26" s="27">
        <v>124921049.62951043</v>
      </c>
      <c r="H26" s="27">
        <v>76525974.784643874</v>
      </c>
      <c r="I26" s="27">
        <v>166461057.99044764</v>
      </c>
      <c r="J26" s="27">
        <v>37317439.827671587</v>
      </c>
      <c r="K26" s="80"/>
      <c r="L26" s="80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spans="1:26" s="16" customFormat="1" x14ac:dyDescent="0.2">
      <c r="A27" s="22">
        <v>44165</v>
      </c>
      <c r="B27" s="27">
        <v>14523392.805779515</v>
      </c>
      <c r="C27" s="27">
        <v>200156351.30146584</v>
      </c>
      <c r="D27" s="27">
        <v>110048036.39175907</v>
      </c>
      <c r="E27" s="27">
        <v>181245977.76992092</v>
      </c>
      <c r="F27" s="27">
        <v>207549583.32018268</v>
      </c>
      <c r="G27" s="27">
        <v>134789812.55024174</v>
      </c>
      <c r="H27" s="27">
        <v>75590156.836879268</v>
      </c>
      <c r="I27" s="27">
        <v>167027025.58761516</v>
      </c>
      <c r="J27" s="27">
        <v>37223029.719183952</v>
      </c>
      <c r="K27" s="80"/>
      <c r="L27" s="80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spans="1:26" s="16" customFormat="1" x14ac:dyDescent="0.2">
      <c r="A28" s="22">
        <v>44196</v>
      </c>
      <c r="B28" s="27">
        <v>14442061.806067148</v>
      </c>
      <c r="C28" s="27">
        <v>200936961.07154155</v>
      </c>
      <c r="D28" s="27">
        <v>112190098.31944513</v>
      </c>
      <c r="E28" s="27">
        <v>185777127.21416894</v>
      </c>
      <c r="F28" s="27">
        <v>214585514.19473687</v>
      </c>
      <c r="G28" s="27">
        <v>141232765.59014329</v>
      </c>
      <c r="H28" s="27">
        <v>79921698.528281748</v>
      </c>
      <c r="I28" s="27">
        <v>172522214.72944769</v>
      </c>
      <c r="J28" s="27">
        <v>37369390.672039784</v>
      </c>
      <c r="K28" s="80"/>
      <c r="L28" s="80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spans="1:26" s="16" customFormat="1" x14ac:dyDescent="0.2">
      <c r="A29" s="22">
        <v>44227</v>
      </c>
      <c r="B29" s="27">
        <v>14456503.867873214</v>
      </c>
      <c r="C29" s="27">
        <v>200052838.44282678</v>
      </c>
      <c r="D29" s="27">
        <v>110847574.91024303</v>
      </c>
      <c r="E29" s="27">
        <v>183882200.51658443</v>
      </c>
      <c r="F29" s="27">
        <v>212847371.5297595</v>
      </c>
      <c r="G29" s="27">
        <v>146204158.93891633</v>
      </c>
      <c r="H29" s="27">
        <v>80397542.770676151</v>
      </c>
      <c r="I29" s="27">
        <v>173039781.37363601</v>
      </c>
      <c r="J29" s="27">
        <v>37369390.67203977</v>
      </c>
      <c r="K29" s="80"/>
      <c r="L29" s="80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spans="1:26" s="16" customFormat="1" x14ac:dyDescent="0.2">
      <c r="A30" s="22">
        <v>44255</v>
      </c>
      <c r="B30" s="27">
        <v>14472406.022127876</v>
      </c>
      <c r="C30" s="27">
        <v>196791977.1762087</v>
      </c>
      <c r="D30" s="27">
        <v>108357938.37775896</v>
      </c>
      <c r="E30" s="27">
        <v>183073118.83431146</v>
      </c>
      <c r="F30" s="27">
        <v>218594250.56106299</v>
      </c>
      <c r="G30" s="27">
        <v>150078569.15079761</v>
      </c>
      <c r="H30" s="27">
        <v>81807625.641705424</v>
      </c>
      <c r="I30" s="27">
        <v>173558900.7177569</v>
      </c>
      <c r="J30" s="27">
        <v>38585125.615442373</v>
      </c>
      <c r="K30" s="80"/>
      <c r="L30" s="80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spans="1:26" s="16" customFormat="1" x14ac:dyDescent="0.2">
      <c r="A31" s="22">
        <v>44286</v>
      </c>
      <c r="B31" s="27">
        <v>14453591.89429911</v>
      </c>
      <c r="C31" s="27">
        <v>197775937.06208974</v>
      </c>
      <c r="D31" s="27">
        <v>107035376.24492668</v>
      </c>
      <c r="E31" s="27">
        <v>195339017.79621032</v>
      </c>
      <c r="F31" s="27">
        <v>227731490.23451543</v>
      </c>
      <c r="G31" s="27">
        <v>153605415.52584136</v>
      </c>
      <c r="H31" s="27">
        <v>95463482.950176716</v>
      </c>
      <c r="I31" s="27">
        <v>174079577.41991016</v>
      </c>
      <c r="J31" s="27">
        <v>38580255.916240133</v>
      </c>
      <c r="K31" s="80"/>
      <c r="L31" s="80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spans="1:26" s="16" customFormat="1" x14ac:dyDescent="0.2">
      <c r="A32" s="22">
        <v>44316</v>
      </c>
      <c r="B32" s="27">
        <v>14363979.624554455</v>
      </c>
      <c r="C32" s="27">
        <v>197419940.37537798</v>
      </c>
      <c r="D32" s="27">
        <v>108939965.19971459</v>
      </c>
      <c r="E32" s="27">
        <v>197604950.40264636</v>
      </c>
      <c r="F32" s="27">
        <v>236704110.94975537</v>
      </c>
      <c r="G32" s="27">
        <v>152361211.66008204</v>
      </c>
      <c r="H32" s="27">
        <v>92486939.618454516</v>
      </c>
      <c r="I32" s="27">
        <v>174601816.15216988</v>
      </c>
      <c r="J32" s="27">
        <v>39015219.747106709</v>
      </c>
      <c r="K32" s="80"/>
      <c r="L32" s="80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spans="1:26" s="16" customFormat="1" x14ac:dyDescent="0.2">
      <c r="A33" s="22">
        <v>44347</v>
      </c>
      <c r="B33" s="27">
        <v>14348179.246967446</v>
      </c>
      <c r="C33" s="27">
        <v>196788196.56617677</v>
      </c>
      <c r="D33" s="27">
        <v>109966334.13022588</v>
      </c>
      <c r="E33" s="27">
        <v>204442081.68657792</v>
      </c>
      <c r="F33" s="27">
        <v>238858118.35939816</v>
      </c>
      <c r="G33" s="27">
        <v>153717226.44385675</v>
      </c>
      <c r="H33" s="27">
        <v>91202361.507907435</v>
      </c>
      <c r="I33" s="27">
        <v>175125621.60062638</v>
      </c>
      <c r="J33" s="27">
        <v>39343143.976394527</v>
      </c>
      <c r="K33" s="80"/>
      <c r="L33" s="80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spans="1:26" s="16" customFormat="1" x14ac:dyDescent="0.2">
      <c r="A34" s="22">
        <v>44377</v>
      </c>
      <c r="B34" s="27">
        <v>14342439.97526866</v>
      </c>
      <c r="C34" s="27">
        <v>197673743.45072457</v>
      </c>
      <c r="D34" s="27">
        <v>110389704.51662724</v>
      </c>
      <c r="E34" s="27">
        <v>213887305.86049783</v>
      </c>
      <c r="F34" s="27">
        <v>244184654.39881274</v>
      </c>
      <c r="G34" s="27">
        <v>158113539.12015104</v>
      </c>
      <c r="H34" s="27">
        <v>103645453.58095461</v>
      </c>
      <c r="I34" s="27">
        <v>175650998.46542823</v>
      </c>
      <c r="J34" s="27">
        <v>40436828.995868266</v>
      </c>
      <c r="K34" s="80"/>
      <c r="L34" s="80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spans="1:26" s="16" customFormat="1" x14ac:dyDescent="0.2">
      <c r="A35" s="22">
        <v>44408</v>
      </c>
      <c r="B35" s="27">
        <v>14240608.651444253</v>
      </c>
      <c r="C35" s="27">
        <v>200184199.99254876</v>
      </c>
      <c r="D35" s="27">
        <v>110294259.54161228</v>
      </c>
      <c r="E35" s="27">
        <v>217117004.17899132</v>
      </c>
      <c r="F35" s="27">
        <v>248116027.33463362</v>
      </c>
      <c r="G35" s="27">
        <v>144547397.46364209</v>
      </c>
      <c r="H35" s="27">
        <v>101611873.8027868</v>
      </c>
      <c r="I35" s="27">
        <v>176177951.46082449</v>
      </c>
      <c r="J35" s="27">
        <v>40161016.157471292</v>
      </c>
      <c r="K35" s="80"/>
      <c r="L35" s="80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spans="1:26" s="16" customFormat="1" x14ac:dyDescent="0.2">
      <c r="A36" s="22">
        <v>44439</v>
      </c>
      <c r="B36" s="27">
        <v>14224943.981927665</v>
      </c>
      <c r="C36" s="27">
        <v>199563628.97257185</v>
      </c>
      <c r="D36" s="27">
        <v>111300609.18840724</v>
      </c>
      <c r="E36" s="27">
        <v>222284388.87845132</v>
      </c>
      <c r="F36" s="27">
        <v>254691102.05900142</v>
      </c>
      <c r="G36" s="27">
        <v>149476463.7171523</v>
      </c>
      <c r="H36" s="27">
        <v>102688395.90209812</v>
      </c>
      <c r="I36" s="27">
        <v>176706485.31520694</v>
      </c>
      <c r="J36" s="27">
        <v>40344552.310580574</v>
      </c>
      <c r="K36" s="80"/>
      <c r="L36" s="80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spans="1:26" s="16" customFormat="1" x14ac:dyDescent="0.2">
      <c r="A37" s="22">
        <v>44469</v>
      </c>
      <c r="B37" s="27">
        <v>14189381.621972846</v>
      </c>
      <c r="C37" s="27">
        <v>196510305.4492915</v>
      </c>
      <c r="D37" s="27">
        <v>109014280.27050005</v>
      </c>
      <c r="E37" s="27">
        <v>209703092.46793097</v>
      </c>
      <c r="F37" s="27">
        <v>245216593.06240657</v>
      </c>
      <c r="G37" s="27">
        <v>146187981.51537496</v>
      </c>
      <c r="H37" s="27">
        <v>115625453.22855051</v>
      </c>
      <c r="I37" s="27">
        <v>177236604.77115256</v>
      </c>
      <c r="J37" s="27">
        <v>41455345.921768948</v>
      </c>
      <c r="K37" s="80"/>
      <c r="L37" s="80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spans="1:26" s="16" customFormat="1" x14ac:dyDescent="0.2">
      <c r="A38" s="22">
        <v>44500</v>
      </c>
      <c r="B38" s="27">
        <v>14155327.106080111</v>
      </c>
      <c r="C38" s="27">
        <v>195056129.18896675</v>
      </c>
      <c r="D38" s="27">
        <v>108869538.90394285</v>
      </c>
      <c r="E38" s="27">
        <v>217650839.67246556</v>
      </c>
      <c r="F38" s="27">
        <v>258507332.406389</v>
      </c>
      <c r="G38" s="27">
        <v>144506819.72794816</v>
      </c>
      <c r="H38" s="27">
        <v>113219386.07131307</v>
      </c>
      <c r="I38" s="27">
        <v>177768314.585466</v>
      </c>
      <c r="J38" s="27">
        <v>41052985.967028849</v>
      </c>
      <c r="K38" s="80"/>
      <c r="L38" s="80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spans="1:26" s="16" customFormat="1" x14ac:dyDescent="0.2">
      <c r="A39" s="22">
        <v>44530</v>
      </c>
      <c r="B39" s="27">
        <v>14165235.835054366</v>
      </c>
      <c r="C39" s="27">
        <v>198138016.03015244</v>
      </c>
      <c r="D39" s="27">
        <v>107168038.06217405</v>
      </c>
      <c r="E39" s="27">
        <v>216540820.390136</v>
      </c>
      <c r="F39" s="27">
        <v>254345364.35464615</v>
      </c>
      <c r="G39" s="27">
        <v>140229417.86400089</v>
      </c>
      <c r="H39" s="27">
        <v>114661684.0715919</v>
      </c>
      <c r="I39" s="27">
        <v>178301619.52922237</v>
      </c>
      <c r="J39" s="27">
        <v>40714839.656464562</v>
      </c>
      <c r="K39" s="80"/>
      <c r="L39" s="80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 s="16" customFormat="1" x14ac:dyDescent="0.2">
      <c r="A40" s="22">
        <v>44561</v>
      </c>
      <c r="B40" s="27">
        <v>14088743.561545072</v>
      </c>
      <c r="C40" s="27">
        <v>196414215.29069009</v>
      </c>
      <c r="D40" s="27">
        <v>108332208.10411119</v>
      </c>
      <c r="E40" s="27">
        <v>229230112.46499798</v>
      </c>
      <c r="F40" s="27">
        <v>264010488.20012271</v>
      </c>
      <c r="G40" s="27">
        <v>140762289.65188408</v>
      </c>
      <c r="H40" s="27">
        <v>122363112.42046429</v>
      </c>
      <c r="I40" s="27">
        <v>156314916.89926621</v>
      </c>
      <c r="J40" s="27">
        <v>43226155.395379096</v>
      </c>
      <c r="K40" s="80"/>
      <c r="L40" s="80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s="16" customFormat="1" x14ac:dyDescent="0.2">
      <c r="A41" s="22">
        <v>44592</v>
      </c>
      <c r="B41" s="27">
        <v>14064119.466732647</v>
      </c>
      <c r="C41" s="27">
        <v>193428719.21827161</v>
      </c>
      <c r="D41" s="27">
        <v>105970196.56318609</v>
      </c>
      <c r="E41" s="27">
        <v>216255688.09947911</v>
      </c>
      <c r="F41" s="27">
        <v>250545953.30191645</v>
      </c>
      <c r="G41" s="27">
        <v>141339415.03945681</v>
      </c>
      <c r="H41" s="27">
        <v>124996027.75182177</v>
      </c>
      <c r="I41" s="27">
        <v>156783861.649964</v>
      </c>
      <c r="J41" s="27">
        <v>43365148.861373745</v>
      </c>
      <c r="K41" s="80"/>
      <c r="L41" s="80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s="16" customFormat="1" x14ac:dyDescent="0.2">
      <c r="A42" s="22">
        <v>44620</v>
      </c>
      <c r="B42" s="27">
        <v>14026645.58224692</v>
      </c>
      <c r="C42" s="27">
        <v>189985688.01618636</v>
      </c>
      <c r="D42" s="27">
        <v>100446180.95666176</v>
      </c>
      <c r="E42" s="27">
        <v>211411560.68605077</v>
      </c>
      <c r="F42" s="27">
        <v>243630884.99078357</v>
      </c>
      <c r="G42" s="27">
        <v>134569257.05906683</v>
      </c>
      <c r="H42" s="27">
        <v>123173188.59231885</v>
      </c>
      <c r="I42" s="27">
        <v>157254213.23491389</v>
      </c>
      <c r="J42" s="27">
        <v>42948174.669230767</v>
      </c>
      <c r="K42" s="80"/>
      <c r="L42" s="80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s="16" customFormat="1" x14ac:dyDescent="0.2">
      <c r="A43" s="22">
        <v>44651</v>
      </c>
      <c r="B43" s="27">
        <v>13973622.328760732</v>
      </c>
      <c r="C43" s="27">
        <v>184077133.11888295</v>
      </c>
      <c r="D43" s="27">
        <v>100490909.3944639</v>
      </c>
      <c r="E43" s="27">
        <v>216527720.4546532</v>
      </c>
      <c r="F43" s="27">
        <v>251037263.89450338</v>
      </c>
      <c r="G43" s="27">
        <v>132295036.61476859</v>
      </c>
      <c r="H43" s="27">
        <v>131735700.39241995</v>
      </c>
      <c r="I43" s="27">
        <v>157725975.87461862</v>
      </c>
      <c r="J43" s="27">
        <v>44716386.356980413</v>
      </c>
      <c r="K43" s="80"/>
      <c r="L43" s="80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s="16" customFormat="1" x14ac:dyDescent="0.2">
      <c r="A44" s="22">
        <v>44681</v>
      </c>
      <c r="B44" s="27">
        <v>13975146.746062726</v>
      </c>
      <c r="C44" s="27">
        <v>179935397.6237081</v>
      </c>
      <c r="D44" s="27">
        <v>95590697.573674083</v>
      </c>
      <c r="E44" s="27">
        <v>217437136.88056275</v>
      </c>
      <c r="F44" s="27">
        <v>232083950.47046837</v>
      </c>
      <c r="G44" s="27">
        <v>131765856.46830952</v>
      </c>
      <c r="H44" s="27">
        <v>138966653.68767977</v>
      </c>
      <c r="I44" s="27">
        <v>158199153.80224246</v>
      </c>
      <c r="J44" s="27">
        <v>44020586.32746309</v>
      </c>
      <c r="K44" s="80"/>
      <c r="L44" s="80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 s="16" customFormat="1" x14ac:dyDescent="0.2">
      <c r="A45" s="22">
        <v>44712</v>
      </c>
      <c r="B45" s="27">
        <v>13971777.65006973</v>
      </c>
      <c r="C45" s="27">
        <v>178873778.77772823</v>
      </c>
      <c r="D45" s="27">
        <v>95610262.134313449</v>
      </c>
      <c r="E45" s="27">
        <v>207913390.28519413</v>
      </c>
      <c r="F45" s="27">
        <v>231642990.96457449</v>
      </c>
      <c r="G45" s="27">
        <v>130777612.54479721</v>
      </c>
      <c r="H45" s="27">
        <v>137100861.01939812</v>
      </c>
      <c r="I45" s="27">
        <v>158673751.26364917</v>
      </c>
      <c r="J45" s="27">
        <v>43872244.055568427</v>
      </c>
      <c r="K45" s="80"/>
      <c r="L45" s="80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 s="16" customFormat="1" x14ac:dyDescent="0.2">
      <c r="A46" s="22">
        <v>44742</v>
      </c>
      <c r="B46" s="27">
        <v>13877747.270659268</v>
      </c>
      <c r="C46" s="27">
        <v>175332077.95792919</v>
      </c>
      <c r="D46" s="27">
        <v>90351173.959057063</v>
      </c>
      <c r="E46" s="27">
        <v>192798086.81146052</v>
      </c>
      <c r="F46" s="27">
        <v>213459016.17385539</v>
      </c>
      <c r="G46" s="27">
        <v>122028590.26555029</v>
      </c>
      <c r="H46" s="27">
        <v>135447822.40623224</v>
      </c>
      <c r="I46" s="27">
        <v>159149772.51744011</v>
      </c>
      <c r="J46" s="27">
        <v>43679636.039624318</v>
      </c>
      <c r="K46" s="80"/>
      <c r="L46" s="80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 s="16" customFormat="1" x14ac:dyDescent="0.2">
      <c r="A47" s="22">
        <v>44773</v>
      </c>
      <c r="B47" s="27">
        <v>13896517.384533467</v>
      </c>
      <c r="C47" s="27">
        <v>181801831.63457677</v>
      </c>
      <c r="D47" s="27">
        <v>92246401.555371881</v>
      </c>
      <c r="E47" s="27">
        <v>201339042.05720824</v>
      </c>
      <c r="F47" s="27">
        <v>230429007.95967689</v>
      </c>
      <c r="G47" s="27">
        <v>120893724.37608068</v>
      </c>
      <c r="H47" s="27">
        <v>134701505.33820695</v>
      </c>
      <c r="I47" s="27">
        <v>159627221.83499241</v>
      </c>
      <c r="J47" s="27">
        <v>44944161.502971441</v>
      </c>
      <c r="K47" s="80"/>
      <c r="L47" s="80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 s="16" customFormat="1" x14ac:dyDescent="0.2">
      <c r="A48" s="22">
        <v>44804</v>
      </c>
      <c r="B48" s="27">
        <v>13893673.191407681</v>
      </c>
      <c r="C48" s="27">
        <v>176220515.40339527</v>
      </c>
      <c r="D48" s="27">
        <v>91386884.849760056</v>
      </c>
      <c r="E48" s="27">
        <v>195178067.37025768</v>
      </c>
      <c r="F48" s="27">
        <v>221926177.56596482</v>
      </c>
      <c r="G48" s="27">
        <v>124242480.54129812</v>
      </c>
      <c r="H48" s="27">
        <v>138059260.638531</v>
      </c>
      <c r="I48" s="27">
        <v>160106103.50049737</v>
      </c>
      <c r="J48" s="27">
        <v>44161234.209589675</v>
      </c>
      <c r="K48" s="80"/>
      <c r="L48" s="80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s="16" customFormat="1" x14ac:dyDescent="0.2">
      <c r="A49" s="22">
        <v>44834</v>
      </c>
      <c r="B49" s="27">
        <v>13891509.309273899</v>
      </c>
      <c r="C49" s="27">
        <v>172396530.21914157</v>
      </c>
      <c r="D49" s="27">
        <v>86318843.951410994</v>
      </c>
      <c r="E49" s="27">
        <v>183506418.94151628</v>
      </c>
      <c r="F49" s="27">
        <v>202907104.14856163</v>
      </c>
      <c r="G49" s="27">
        <v>110613080.42591771</v>
      </c>
      <c r="H49" s="27">
        <v>132973969.3340897</v>
      </c>
      <c r="I49" s="27">
        <v>160586421.81099886</v>
      </c>
      <c r="J49" s="27">
        <v>43821192.706175834</v>
      </c>
      <c r="K49" s="80"/>
      <c r="L49" s="80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s="16" customFormat="1" x14ac:dyDescent="0.2">
      <c r="A50" s="22">
        <v>44865</v>
      </c>
      <c r="B50" s="27">
        <v>13895474.527045749</v>
      </c>
      <c r="C50" s="27">
        <v>173577446.4511427</v>
      </c>
      <c r="D50" s="27">
        <v>86084727.643795729</v>
      </c>
      <c r="E50" s="27">
        <v>192369778.97639152</v>
      </c>
      <c r="F50" s="27">
        <v>217151182.85979065</v>
      </c>
      <c r="G50" s="27">
        <v>109042374.68386969</v>
      </c>
      <c r="H50" s="27">
        <v>135179362.82753891</v>
      </c>
      <c r="I50" s="27">
        <v>161068181.07643184</v>
      </c>
      <c r="J50" s="27">
        <v>42973252.627311334</v>
      </c>
      <c r="K50" s="80"/>
      <c r="L50" s="80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 s="16" customFormat="1" x14ac:dyDescent="0.2">
      <c r="A51" s="22">
        <v>44895</v>
      </c>
      <c r="B51" s="27">
        <v>13875451.469628952</v>
      </c>
      <c r="C51" s="27">
        <v>176129034.91397449</v>
      </c>
      <c r="D51" s="27">
        <v>90994638.714483812</v>
      </c>
      <c r="E51" s="27">
        <v>197890791.63301396</v>
      </c>
      <c r="F51" s="27">
        <v>228725340.90621749</v>
      </c>
      <c r="G51" s="27">
        <v>119150602.8170644</v>
      </c>
      <c r="H51" s="27">
        <v>128675263.92508125</v>
      </c>
      <c r="I51" s="27">
        <v>161551385.61966112</v>
      </c>
      <c r="J51" s="27">
        <v>42791475.768697806</v>
      </c>
      <c r="K51" s="80"/>
      <c r="L51" s="80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s="16" customFormat="1" x14ac:dyDescent="0.2">
      <c r="A52" s="22">
        <v>44926</v>
      </c>
      <c r="B52" s="27">
        <v>13820490.01548446</v>
      </c>
      <c r="C52" s="27">
        <v>170845163.86655524</v>
      </c>
      <c r="D52" s="27">
        <v>90597624.888574466</v>
      </c>
      <c r="E52" s="27">
        <v>191419762.74661443</v>
      </c>
      <c r="F52" s="27">
        <v>216305554.89500988</v>
      </c>
      <c r="G52" s="27">
        <v>114134362.43846598</v>
      </c>
      <c r="H52" s="27">
        <v>123653731.68220334</v>
      </c>
      <c r="I52" s="27">
        <v>161664471.58959487</v>
      </c>
      <c r="J52" s="27">
        <v>43033675.521548636</v>
      </c>
      <c r="K52" s="80"/>
      <c r="L52" s="80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s="16" customFormat="1" x14ac:dyDescent="0.2">
      <c r="A53" s="22">
        <v>44957</v>
      </c>
      <c r="B53" s="27">
        <v>13804472.872572608</v>
      </c>
      <c r="C53" s="27">
        <v>175116292.96321911</v>
      </c>
      <c r="D53" s="27">
        <v>93268608.562169164</v>
      </c>
      <c r="E53" s="27">
        <v>201813855.86375558</v>
      </c>
      <c r="F53" s="27">
        <v>229932804.85339549</v>
      </c>
      <c r="G53" s="27">
        <v>122500411.20520553</v>
      </c>
      <c r="H53" s="27">
        <v>122785265.67379551</v>
      </c>
      <c r="I53" s="27">
        <v>162133298.55720469</v>
      </c>
      <c r="J53" s="27">
        <v>41471122.763361208</v>
      </c>
      <c r="K53" s="80"/>
      <c r="L53" s="80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 s="16" customFormat="1" x14ac:dyDescent="0.2">
      <c r="A54" s="22">
        <v>44985</v>
      </c>
      <c r="B54" s="27">
        <v>13783726.271422395</v>
      </c>
      <c r="C54" s="27">
        <v>172366967.16369656</v>
      </c>
      <c r="D54" s="27">
        <v>90679775.72149393</v>
      </c>
      <c r="E54" s="27">
        <v>199210457.12311313</v>
      </c>
      <c r="F54" s="27">
        <v>225771021.08554903</v>
      </c>
      <c r="G54" s="27">
        <v>116902142.41312765</v>
      </c>
      <c r="H54" s="27">
        <v>125257776.25050691</v>
      </c>
      <c r="I54" s="27">
        <v>162603485.12302056</v>
      </c>
      <c r="J54" s="27">
        <v>41713314.120299242</v>
      </c>
      <c r="K54" s="80"/>
      <c r="L54" s="80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s="16" customFormat="1" x14ac:dyDescent="0.2">
      <c r="A55" s="22">
        <v>45016</v>
      </c>
      <c r="B55" s="27">
        <v>13778002.099013263</v>
      </c>
      <c r="C55" s="27">
        <v>173676956.11414066</v>
      </c>
      <c r="D55" s="27">
        <v>90804317.802579552</v>
      </c>
      <c r="E55" s="27">
        <v>202597034.89420602</v>
      </c>
      <c r="F55" s="27">
        <v>230737983.54943112</v>
      </c>
      <c r="G55" s="27">
        <v>117463272.69671065</v>
      </c>
      <c r="H55" s="27">
        <v>123557086.25073279</v>
      </c>
      <c r="I55" s="27">
        <v>163075035.22987729</v>
      </c>
      <c r="J55" s="27">
        <v>40134465.180845916</v>
      </c>
      <c r="K55" s="80"/>
      <c r="L55" s="80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s="16" customFormat="1" x14ac:dyDescent="0.2">
      <c r="A56" s="22">
        <v>45046</v>
      </c>
      <c r="B56" s="27">
        <v>13785935.998721737</v>
      </c>
      <c r="C56" s="27">
        <v>175170577.93672225</v>
      </c>
      <c r="D56" s="27">
        <v>90890526.913023368</v>
      </c>
      <c r="E56" s="27">
        <v>209910787.85388687</v>
      </c>
      <c r="F56" s="27">
        <v>233622208.343799</v>
      </c>
      <c r="G56" s="27">
        <v>112999668.33423564</v>
      </c>
      <c r="H56" s="27">
        <v>120367117.92724259</v>
      </c>
      <c r="I56" s="27">
        <v>163547952.83204392</v>
      </c>
      <c r="J56" s="27">
        <v>39580208.216698438</v>
      </c>
      <c r="K56" s="80"/>
      <c r="L56" s="80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 s="16" customFormat="1" x14ac:dyDescent="0.2">
      <c r="A57" s="22">
        <v>45077</v>
      </c>
      <c r="B57" s="27">
        <v>13749367.188490082</v>
      </c>
      <c r="C57" s="27">
        <v>177780619.54797938</v>
      </c>
      <c r="D57" s="27">
        <v>89717943.487252191</v>
      </c>
      <c r="E57" s="27">
        <v>205943473.96344841</v>
      </c>
      <c r="F57" s="27">
        <v>232617632.84792066</v>
      </c>
      <c r="G57" s="27">
        <v>114095765.11707772</v>
      </c>
      <c r="H57" s="27">
        <v>123605408.83455622</v>
      </c>
      <c r="I57" s="27">
        <v>164022241.89525682</v>
      </c>
      <c r="J57" s="27">
        <v>39988675.965494767</v>
      </c>
      <c r="K57" s="80"/>
      <c r="L57" s="80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s="16" customFormat="1" x14ac:dyDescent="0.2">
      <c r="A58" s="22">
        <v>45107</v>
      </c>
      <c r="B58" s="27">
        <v>13749793.946715292</v>
      </c>
      <c r="C58" s="27">
        <v>177894399.14449009</v>
      </c>
      <c r="D58" s="27">
        <v>91812738.794867396</v>
      </c>
      <c r="E58" s="27">
        <v>206973191.33326563</v>
      </c>
      <c r="F58" s="27">
        <v>245318555.60141712</v>
      </c>
      <c r="G58" s="27">
        <v>115898478.20592755</v>
      </c>
      <c r="H58" s="27">
        <v>123121947.66163559</v>
      </c>
      <c r="I58" s="27">
        <v>164497906.39675304</v>
      </c>
      <c r="J58" s="27">
        <v>39505212.873071931</v>
      </c>
      <c r="K58" s="80"/>
      <c r="L58" s="80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s="16" customFormat="1" x14ac:dyDescent="0.2">
      <c r="A59" s="22">
        <v>45138</v>
      </c>
      <c r="B59" s="27">
        <v>13757557.006642422</v>
      </c>
      <c r="C59" s="27">
        <v>178107872.42346349</v>
      </c>
      <c r="D59" s="27">
        <v>93302512.610153273</v>
      </c>
      <c r="E59" s="27">
        <v>207883873.37513199</v>
      </c>
      <c r="F59" s="27">
        <v>251745901.75817424</v>
      </c>
      <c r="G59" s="27">
        <v>119340663.00864361</v>
      </c>
      <c r="H59" s="27">
        <v>119164150.00460964</v>
      </c>
      <c r="I59" s="27">
        <v>164974950.32530361</v>
      </c>
      <c r="J59" s="27">
        <v>39381956.608907945</v>
      </c>
    </row>
    <row r="60" spans="1:26" s="16" customFormat="1" x14ac:dyDescent="0.2">
      <c r="A60" s="22">
        <v>45169</v>
      </c>
      <c r="B60" s="27">
        <v>13763999.987912241</v>
      </c>
      <c r="C60" s="27">
        <v>179319005.95594302</v>
      </c>
      <c r="D60" s="27">
        <v>91232860.539796844</v>
      </c>
      <c r="E60" s="27">
        <v>204225117.20372969</v>
      </c>
      <c r="F60" s="27">
        <v>246559936.18195587</v>
      </c>
      <c r="G60" s="27">
        <v>113958399.10695378</v>
      </c>
      <c r="H60" s="27">
        <v>121418557.63187468</v>
      </c>
      <c r="I60" s="27">
        <v>165453377.68124697</v>
      </c>
      <c r="J60" s="27">
        <v>39421338.565516852</v>
      </c>
    </row>
    <row r="61" spans="1:26" s="16" customFormat="1" x14ac:dyDescent="0.2">
      <c r="A61" s="22">
        <v>45199</v>
      </c>
      <c r="B61" s="27">
        <v>13751888.662315752</v>
      </c>
      <c r="C61" s="27">
        <v>177654925.58067188</v>
      </c>
      <c r="D61" s="27">
        <v>88187748.826993167</v>
      </c>
      <c r="E61" s="27">
        <v>200099769.83621436</v>
      </c>
      <c r="F61" s="27">
        <v>236401666.8112593</v>
      </c>
      <c r="G61" s="27">
        <v>114756107.90070245</v>
      </c>
      <c r="H61" s="27">
        <v>128013992.21563712</v>
      </c>
      <c r="I61" s="27">
        <v>165519559.03231946</v>
      </c>
      <c r="J61" s="27">
        <v>38463400.038374797</v>
      </c>
    </row>
    <row r="62" spans="1:26" s="16" customFormat="1" x14ac:dyDescent="0.2">
      <c r="A62" s="22">
        <v>45230</v>
      </c>
      <c r="B62" s="27">
        <v>13737332.354657128</v>
      </c>
      <c r="C62" s="27">
        <v>178578731.19369137</v>
      </c>
      <c r="D62" s="27">
        <v>86954301.897101909</v>
      </c>
      <c r="E62" s="27">
        <v>189614541.89679673</v>
      </c>
      <c r="F62" s="27">
        <v>229687859.47381955</v>
      </c>
      <c r="G62" s="27">
        <v>109833070.87176231</v>
      </c>
      <c r="H62" s="27">
        <v>127328743.41561081</v>
      </c>
      <c r="I62" s="27">
        <v>165585766.85593238</v>
      </c>
      <c r="J62" s="27">
        <v>38090305.058002561</v>
      </c>
    </row>
    <row r="63" spans="1:26" s="16" customFormat="1" x14ac:dyDescent="0.2">
      <c r="A63" s="22">
        <v>45260</v>
      </c>
      <c r="B63" s="27">
        <v>13727190.554702939</v>
      </c>
      <c r="C63" s="27">
        <v>182114590.07132646</v>
      </c>
      <c r="D63" s="27">
        <v>91759170.347302422</v>
      </c>
      <c r="E63" s="27">
        <v>198242003.553101</v>
      </c>
      <c r="F63" s="27">
        <v>247626481.29872486</v>
      </c>
      <c r="G63" s="27">
        <v>113040196.54121776</v>
      </c>
      <c r="H63" s="27">
        <v>121662857.67157768</v>
      </c>
      <c r="I63" s="27">
        <v>168082800.22011983</v>
      </c>
      <c r="J63" s="27">
        <v>40150990.561640501</v>
      </c>
    </row>
    <row r="64" spans="1:26" s="16" customFormat="1" x14ac:dyDescent="0.2">
      <c r="A64" s="22">
        <v>45291</v>
      </c>
      <c r="B64" s="27">
        <v>13682781.25006252</v>
      </c>
      <c r="C64" s="27">
        <v>184645982.8733179</v>
      </c>
      <c r="D64" s="27">
        <v>95744169.137423009</v>
      </c>
      <c r="E64" s="27">
        <v>202900690.63659889</v>
      </c>
      <c r="F64" s="27">
        <v>257036287.58807641</v>
      </c>
      <c r="G64" s="27">
        <v>113537573.40599911</v>
      </c>
      <c r="H64" s="27">
        <v>116712048.20747623</v>
      </c>
      <c r="I64" s="27">
        <v>169276188.10168269</v>
      </c>
      <c r="J64" s="27">
        <v>40163035.858808994</v>
      </c>
    </row>
    <row r="65" spans="1:10" s="16" customFormat="1" x14ac:dyDescent="0.2">
      <c r="A65" s="22">
        <v>45322</v>
      </c>
      <c r="B65" s="27">
        <v>13757557.006642422</v>
      </c>
      <c r="C65" s="27">
        <v>178107872.42346349</v>
      </c>
      <c r="D65" s="27">
        <v>93302512.610153273</v>
      </c>
      <c r="E65" s="27">
        <v>207883873.37513199</v>
      </c>
      <c r="F65" s="27">
        <v>251745901.75817424</v>
      </c>
      <c r="G65" s="27">
        <v>119340663.00864361</v>
      </c>
      <c r="H65" s="27">
        <v>119164150.00460964</v>
      </c>
      <c r="I65" s="27">
        <v>164974950.32530361</v>
      </c>
      <c r="J65" s="27">
        <v>39381956.608907945</v>
      </c>
    </row>
    <row r="66" spans="1:10" s="16" customFormat="1" x14ac:dyDescent="0.2">
      <c r="A66" s="22">
        <v>45351</v>
      </c>
      <c r="B66" s="27">
        <v>13763999.987912241</v>
      </c>
      <c r="C66" s="27">
        <v>179319005.95594302</v>
      </c>
      <c r="D66" s="27">
        <v>91232860.539796844</v>
      </c>
      <c r="E66" s="27">
        <v>204225117.20372969</v>
      </c>
      <c r="F66" s="27">
        <v>246559936.18195587</v>
      </c>
      <c r="G66" s="27">
        <v>113958399.10695378</v>
      </c>
      <c r="H66" s="27">
        <v>121418557.63187468</v>
      </c>
      <c r="I66" s="27">
        <v>165453377.68124697</v>
      </c>
      <c r="J66" s="27">
        <v>39421338.565516852</v>
      </c>
    </row>
    <row r="67" spans="1:10" s="16" customFormat="1" x14ac:dyDescent="0.2">
      <c r="A67" s="22">
        <v>45382</v>
      </c>
      <c r="B67" s="27">
        <v>13751888.662315752</v>
      </c>
      <c r="C67" s="27">
        <v>177654925.58067188</v>
      </c>
      <c r="D67" s="27">
        <v>88187748.826993167</v>
      </c>
      <c r="E67" s="27">
        <v>200099769.83621436</v>
      </c>
      <c r="F67" s="27">
        <v>236401666.8112593</v>
      </c>
      <c r="G67" s="27">
        <v>114756107.90070245</v>
      </c>
      <c r="H67" s="27">
        <v>128013992.21563712</v>
      </c>
      <c r="I67" s="27">
        <v>165519559.03231946</v>
      </c>
      <c r="J67" s="27">
        <v>38463400.038374797</v>
      </c>
    </row>
    <row r="68" spans="1:10" s="16" customFormat="1" x14ac:dyDescent="0.2">
      <c r="A68" s="22">
        <v>45412</v>
      </c>
      <c r="B68" s="27">
        <v>13737332.354657128</v>
      </c>
      <c r="C68" s="27">
        <v>178578731.19369137</v>
      </c>
      <c r="D68" s="27">
        <v>86954301.897101909</v>
      </c>
      <c r="E68" s="27">
        <v>189614541.89679673</v>
      </c>
      <c r="F68" s="27">
        <v>229687859.47381955</v>
      </c>
      <c r="G68" s="27">
        <v>109833070.87176231</v>
      </c>
      <c r="H68" s="27">
        <v>127328743.41561081</v>
      </c>
      <c r="I68" s="27">
        <v>165585766.85593238</v>
      </c>
      <c r="J68" s="27">
        <v>38090305.058002561</v>
      </c>
    </row>
    <row r="69" spans="1:10" s="16" customFormat="1" x14ac:dyDescent="0.2">
      <c r="A69" s="22">
        <v>45443</v>
      </c>
      <c r="B69" s="27">
        <v>13727190.554702939</v>
      </c>
      <c r="C69" s="27">
        <v>182114590.07132646</v>
      </c>
      <c r="D69" s="27">
        <v>91759170.347302422</v>
      </c>
      <c r="E69" s="27">
        <v>198242003.553101</v>
      </c>
      <c r="F69" s="27">
        <v>247626481.29872486</v>
      </c>
      <c r="G69" s="27">
        <v>113040196.54121776</v>
      </c>
      <c r="H69" s="27">
        <v>121662857.67157768</v>
      </c>
      <c r="I69" s="27">
        <v>168082800.22011983</v>
      </c>
      <c r="J69" s="27">
        <v>40150990.561640501</v>
      </c>
    </row>
    <row r="70" spans="1:10" s="16" customFormat="1" x14ac:dyDescent="0.2">
      <c r="A70" s="22">
        <v>45473</v>
      </c>
      <c r="B70" s="27">
        <v>13682781.25006252</v>
      </c>
      <c r="C70" s="27">
        <v>184645982.8733179</v>
      </c>
      <c r="D70" s="27">
        <v>95744169.137423009</v>
      </c>
      <c r="E70" s="27">
        <v>202900690.63659889</v>
      </c>
      <c r="F70" s="27">
        <v>257036287.58807641</v>
      </c>
      <c r="G70" s="27">
        <v>113537573.40599911</v>
      </c>
      <c r="H70" s="27">
        <v>116712048.20747623</v>
      </c>
      <c r="I70" s="27">
        <v>169276188.10168269</v>
      </c>
      <c r="J70" s="27">
        <v>40163035.858808994</v>
      </c>
    </row>
    <row r="71" spans="1:10" s="16" customFormat="1" x14ac:dyDescent="0.2">
      <c r="A71" s="76"/>
      <c r="B71" s="82"/>
      <c r="C71" s="82"/>
      <c r="D71" s="82"/>
      <c r="E71" s="82"/>
      <c r="F71" s="82"/>
      <c r="G71" s="82"/>
      <c r="H71" s="82"/>
      <c r="I71" s="82"/>
      <c r="J71" s="82"/>
    </row>
    <row r="72" spans="1:10" s="16" customFormat="1" x14ac:dyDescent="0.2">
      <c r="A72" s="76"/>
      <c r="B72" s="82"/>
      <c r="C72" s="82"/>
      <c r="D72" s="82"/>
      <c r="E72" s="82"/>
      <c r="F72" s="82"/>
      <c r="G72" s="82"/>
      <c r="H72" s="82"/>
      <c r="I72" s="82"/>
      <c r="J72" s="82"/>
    </row>
    <row r="73" spans="1:10" s="16" customFormat="1" x14ac:dyDescent="0.2">
      <c r="A73" s="76"/>
      <c r="B73" s="82"/>
      <c r="C73" s="82"/>
      <c r="D73" s="82"/>
      <c r="E73" s="82"/>
      <c r="F73" s="82"/>
      <c r="G73" s="82"/>
      <c r="H73" s="82"/>
      <c r="I73" s="82"/>
      <c r="J73" s="82"/>
    </row>
    <row r="74" spans="1:10" s="16" customFormat="1" x14ac:dyDescent="0.2">
      <c r="A74" s="76"/>
      <c r="B74" s="82"/>
      <c r="C74" s="82"/>
      <c r="D74" s="82"/>
      <c r="E74" s="82"/>
      <c r="F74" s="82"/>
      <c r="G74" s="82"/>
      <c r="H74" s="82"/>
      <c r="I74" s="82"/>
      <c r="J74" s="82"/>
    </row>
    <row r="75" spans="1:10" s="16" customFormat="1" x14ac:dyDescent="0.2">
      <c r="A75" s="76"/>
      <c r="B75" s="82"/>
      <c r="C75" s="82"/>
      <c r="D75" s="82"/>
      <c r="E75" s="82"/>
      <c r="F75" s="82"/>
      <c r="G75" s="82"/>
      <c r="H75" s="82"/>
      <c r="I75" s="82"/>
      <c r="J75" s="82"/>
    </row>
    <row r="76" spans="1:10" s="16" customFormat="1" x14ac:dyDescent="0.2">
      <c r="A76" s="76"/>
      <c r="B76" s="82"/>
      <c r="C76" s="82"/>
      <c r="D76" s="82"/>
      <c r="E76" s="82"/>
      <c r="F76" s="82"/>
      <c r="G76" s="82"/>
      <c r="H76" s="82"/>
      <c r="I76" s="82"/>
      <c r="J76" s="82"/>
    </row>
    <row r="77" spans="1:10" x14ac:dyDescent="0.2">
      <c r="A77" s="6"/>
      <c r="B77" s="54"/>
      <c r="C77" s="54"/>
      <c r="D77" s="54"/>
      <c r="E77" s="54"/>
      <c r="F77" s="54"/>
      <c r="G77" s="54"/>
      <c r="H77" s="54"/>
      <c r="I77" s="54"/>
      <c r="J77" s="54"/>
    </row>
    <row r="78" spans="1:10" x14ac:dyDescent="0.2">
      <c r="A78" s="6"/>
      <c r="B78" s="54"/>
      <c r="C78" s="54"/>
      <c r="D78" s="54"/>
      <c r="E78" s="54"/>
      <c r="F78" s="54"/>
      <c r="G78" s="54"/>
      <c r="H78" s="54"/>
      <c r="I78" s="54"/>
      <c r="J78" s="54"/>
    </row>
    <row r="79" spans="1:10" x14ac:dyDescent="0.2">
      <c r="A79" s="6"/>
      <c r="B79" s="54"/>
      <c r="C79" s="54"/>
      <c r="D79" s="54"/>
      <c r="E79" s="54"/>
      <c r="F79" s="54"/>
      <c r="G79" s="54"/>
      <c r="H79" s="54"/>
      <c r="I79" s="54"/>
      <c r="J79" s="54"/>
    </row>
    <row r="80" spans="1:10" x14ac:dyDescent="0.2">
      <c r="A80" s="6"/>
      <c r="B80" s="54"/>
      <c r="C80" s="54"/>
      <c r="D80" s="54"/>
      <c r="E80" s="54"/>
      <c r="F80" s="54"/>
      <c r="G80" s="54"/>
      <c r="H80" s="54"/>
      <c r="I80" s="54"/>
      <c r="J80" s="54"/>
    </row>
    <row r="81" spans="1:10" x14ac:dyDescent="0.2">
      <c r="A81" s="6"/>
      <c r="B81" s="54"/>
      <c r="C81" s="54"/>
      <c r="D81" s="54"/>
      <c r="E81" s="54"/>
      <c r="F81" s="54"/>
      <c r="G81" s="54"/>
      <c r="H81" s="54"/>
      <c r="I81" s="54"/>
      <c r="J81" s="54"/>
    </row>
    <row r="82" spans="1:10" x14ac:dyDescent="0.2">
      <c r="A82" s="6"/>
      <c r="B82" s="54"/>
      <c r="C82" s="54"/>
      <c r="D82" s="54"/>
      <c r="E82" s="54"/>
      <c r="F82" s="54"/>
      <c r="G82" s="54"/>
      <c r="H82" s="54"/>
      <c r="I82" s="54"/>
      <c r="J82" s="54"/>
    </row>
    <row r="83" spans="1:10" x14ac:dyDescent="0.2">
      <c r="A83" s="6"/>
      <c r="B83" s="54"/>
      <c r="C83" s="54"/>
      <c r="D83" s="54"/>
      <c r="E83" s="54"/>
      <c r="F83" s="54"/>
      <c r="G83" s="54"/>
      <c r="H83" s="54"/>
      <c r="I83" s="54"/>
      <c r="J83" s="54"/>
    </row>
    <row r="84" spans="1:10" x14ac:dyDescent="0.2">
      <c r="A84" s="6"/>
      <c r="B84" s="54"/>
      <c r="C84" s="54"/>
      <c r="D84" s="54"/>
      <c r="E84" s="54"/>
      <c r="F84" s="54"/>
      <c r="G84" s="54"/>
      <c r="H84" s="54"/>
      <c r="I84" s="54"/>
      <c r="J84" s="54"/>
    </row>
    <row r="85" spans="1:10" x14ac:dyDescent="0.2">
      <c r="A85" s="6"/>
      <c r="B85" s="54"/>
      <c r="C85" s="54"/>
      <c r="D85" s="54"/>
      <c r="E85" s="54"/>
      <c r="F85" s="54"/>
      <c r="G85" s="54"/>
      <c r="H85" s="54"/>
      <c r="I85" s="54"/>
      <c r="J85" s="54"/>
    </row>
    <row r="86" spans="1:10" x14ac:dyDescent="0.2">
      <c r="A86" s="6"/>
      <c r="B86" s="54"/>
      <c r="D86" s="38"/>
    </row>
    <row r="87" spans="1:10" x14ac:dyDescent="0.2">
      <c r="A87" s="6"/>
      <c r="B87" s="54"/>
      <c r="D87" s="38"/>
    </row>
    <row r="88" spans="1:10" x14ac:dyDescent="0.2">
      <c r="A88" s="6"/>
      <c r="B88" s="54"/>
      <c r="D88" s="38"/>
    </row>
    <row r="89" spans="1:10" x14ac:dyDescent="0.2">
      <c r="A89" s="6"/>
      <c r="B89" s="54"/>
      <c r="D89" s="38"/>
    </row>
    <row r="90" spans="1:10" x14ac:dyDescent="0.2">
      <c r="A90" s="6"/>
      <c r="B90" s="54"/>
      <c r="D90" s="38"/>
    </row>
    <row r="91" spans="1:10" x14ac:dyDescent="0.2">
      <c r="A91" s="6"/>
      <c r="B91" s="54"/>
      <c r="D91" s="38"/>
    </row>
    <row r="92" spans="1:10" x14ac:dyDescent="0.2">
      <c r="A92" s="6"/>
      <c r="B92" s="54"/>
      <c r="D92" s="38"/>
    </row>
    <row r="93" spans="1:10" x14ac:dyDescent="0.2">
      <c r="A93" s="6"/>
      <c r="B93" s="54"/>
      <c r="D93" s="38"/>
    </row>
    <row r="94" spans="1:10" x14ac:dyDescent="0.2">
      <c r="A94" s="6"/>
      <c r="D94" s="38"/>
    </row>
    <row r="95" spans="1:10" x14ac:dyDescent="0.2">
      <c r="A95" s="6"/>
      <c r="D95" s="38"/>
    </row>
    <row r="96" spans="1:10" x14ac:dyDescent="0.2">
      <c r="A96" s="6"/>
      <c r="D96" s="38"/>
    </row>
    <row r="97" spans="1:10" x14ac:dyDescent="0.2">
      <c r="A97" s="6"/>
      <c r="D97" s="38"/>
    </row>
    <row r="98" spans="1:10" x14ac:dyDescent="0.2">
      <c r="A98" s="6"/>
      <c r="D98" s="38"/>
    </row>
    <row r="99" spans="1:10" x14ac:dyDescent="0.2">
      <c r="A99" s="6"/>
      <c r="D99" s="7"/>
    </row>
    <row r="100" spans="1:10" x14ac:dyDescent="0.2">
      <c r="A100" s="6"/>
    </row>
    <row r="101" spans="1:10" x14ac:dyDescent="0.2">
      <c r="A101" s="6"/>
      <c r="B101" s="39"/>
      <c r="C101" s="7"/>
      <c r="D101" s="7"/>
      <c r="E101" s="7"/>
      <c r="F101" s="7"/>
      <c r="G101" s="7"/>
      <c r="H101" s="7"/>
      <c r="I101" s="7"/>
      <c r="J101" s="7"/>
    </row>
    <row r="102" spans="1:10" x14ac:dyDescent="0.2">
      <c r="A102" s="6"/>
      <c r="B102" s="39"/>
      <c r="C102" s="7"/>
      <c r="D102" s="7"/>
      <c r="E102" s="7"/>
      <c r="F102" s="7"/>
      <c r="G102" s="7"/>
      <c r="H102" s="7"/>
      <c r="I102" s="7"/>
      <c r="J102" s="7"/>
    </row>
    <row r="103" spans="1:10" x14ac:dyDescent="0.2">
      <c r="A103" s="6"/>
      <c r="B103" s="39"/>
      <c r="C103" s="7"/>
      <c r="D103" s="7"/>
      <c r="E103" s="7"/>
      <c r="F103" s="7"/>
      <c r="G103" s="7"/>
      <c r="H103" s="7"/>
      <c r="I103" s="7"/>
      <c r="J103" s="7"/>
    </row>
    <row r="104" spans="1:10" x14ac:dyDescent="0.2">
      <c r="A104" s="6"/>
      <c r="B104" s="39"/>
      <c r="C104" s="7"/>
      <c r="D104" s="7"/>
      <c r="E104" s="7"/>
      <c r="F104" s="7"/>
      <c r="G104" s="7"/>
      <c r="H104" s="7"/>
      <c r="I104" s="7"/>
      <c r="J104" s="7"/>
    </row>
    <row r="105" spans="1:10" x14ac:dyDescent="0.2">
      <c r="B105" s="39"/>
    </row>
    <row r="106" spans="1:10" x14ac:dyDescent="0.2">
      <c r="B106" s="39"/>
    </row>
  </sheetData>
  <mergeCells count="1">
    <mergeCell ref="Q3:X3"/>
  </mergeCells>
  <phoneticPr fontId="28" type="noConversion"/>
  <pageMargins left="0.7" right="0.7" top="0.78740157499999996" bottom="0.78740157499999996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AH124"/>
  <sheetViews>
    <sheetView zoomScale="115" zoomScaleNormal="115" workbookViewId="0">
      <pane ySplit="3" topLeftCell="A4" activePane="bottomLeft" state="frozen"/>
      <selection pane="bottomLeft" activeCell="L10" sqref="L10"/>
    </sheetView>
  </sheetViews>
  <sheetFormatPr baseColWidth="10" defaultColWidth="11.42578125" defaultRowHeight="15" x14ac:dyDescent="0.25"/>
  <cols>
    <col min="1" max="1" width="26.42578125" style="64" customWidth="1"/>
    <col min="2" max="4" width="12.5703125" style="64" customWidth="1"/>
    <col min="5" max="5" width="30.28515625" style="64" bestFit="1" customWidth="1"/>
    <col min="6" max="6" width="8.42578125" style="64" customWidth="1"/>
    <col min="7" max="12" width="12.5703125" style="64" customWidth="1"/>
    <col min="13" max="13" width="13" style="64" customWidth="1"/>
    <col min="14" max="14" width="13.42578125" style="64" customWidth="1"/>
    <col min="15" max="34" width="11.42578125" style="64"/>
  </cols>
  <sheetData>
    <row r="1" spans="1:16" s="64" customFormat="1" ht="42.75" customHeight="1" x14ac:dyDescent="0.25">
      <c r="A1" s="204" t="s">
        <v>20</v>
      </c>
      <c r="B1" s="198" t="s">
        <v>19</v>
      </c>
      <c r="C1" s="207" t="s">
        <v>11</v>
      </c>
      <c r="D1" s="208"/>
      <c r="E1" s="201" t="s">
        <v>21</v>
      </c>
      <c r="F1" s="60"/>
      <c r="G1" s="196" t="s">
        <v>65</v>
      </c>
      <c r="H1" s="197"/>
      <c r="I1" s="197"/>
      <c r="J1" s="197"/>
      <c r="K1" s="197"/>
      <c r="L1" s="197"/>
      <c r="M1" s="66"/>
    </row>
    <row r="2" spans="1:16" s="64" customFormat="1" ht="23.25" customHeight="1" x14ac:dyDescent="0.25">
      <c r="A2" s="205"/>
      <c r="B2" s="199"/>
      <c r="C2" s="209"/>
      <c r="D2" s="210"/>
      <c r="E2" s="202"/>
      <c r="F2" s="60"/>
      <c r="G2" s="211" t="s">
        <v>62</v>
      </c>
      <c r="H2" s="195"/>
      <c r="I2" s="195"/>
      <c r="J2" s="212"/>
      <c r="K2" s="195" t="s">
        <v>61</v>
      </c>
      <c r="L2" s="195"/>
      <c r="M2" s="67"/>
    </row>
    <row r="3" spans="1:16" s="64" customFormat="1" ht="42.75" customHeight="1" x14ac:dyDescent="0.25">
      <c r="A3" s="206"/>
      <c r="B3" s="200"/>
      <c r="C3" s="1" t="s">
        <v>17</v>
      </c>
      <c r="D3" s="1" t="s">
        <v>18</v>
      </c>
      <c r="E3" s="203"/>
      <c r="F3" s="60"/>
      <c r="G3" s="30" t="s">
        <v>30</v>
      </c>
      <c r="H3" s="30" t="s">
        <v>81</v>
      </c>
      <c r="I3" s="30" t="s">
        <v>64</v>
      </c>
      <c r="J3" s="42" t="s">
        <v>80</v>
      </c>
      <c r="K3" s="30" t="s">
        <v>63</v>
      </c>
      <c r="L3" s="40" t="s">
        <v>41</v>
      </c>
    </row>
    <row r="4" spans="1:16" s="64" customFormat="1" ht="23.25" customHeight="1" x14ac:dyDescent="0.25">
      <c r="A4" s="29" t="s">
        <v>5</v>
      </c>
      <c r="B4" s="29">
        <v>0.02</v>
      </c>
      <c r="C4" s="29">
        <v>0.01</v>
      </c>
      <c r="D4" s="29">
        <v>0.03</v>
      </c>
      <c r="E4" s="28" t="s">
        <v>12</v>
      </c>
      <c r="F4" s="60"/>
      <c r="G4" s="29">
        <v>0</v>
      </c>
      <c r="H4" s="29">
        <v>0</v>
      </c>
      <c r="I4" s="29">
        <v>0</v>
      </c>
      <c r="J4" s="43">
        <v>0</v>
      </c>
      <c r="K4" s="41">
        <v>1</v>
      </c>
      <c r="L4" s="29">
        <v>0</v>
      </c>
      <c r="N4" s="24"/>
      <c r="O4" s="68" t="s">
        <v>40</v>
      </c>
    </row>
    <row r="5" spans="1:16" ht="23.25" customHeight="1" x14ac:dyDescent="0.25">
      <c r="A5" s="29" t="s">
        <v>6</v>
      </c>
      <c r="B5" s="29">
        <v>0.2</v>
      </c>
      <c r="C5" s="29">
        <v>0.17</v>
      </c>
      <c r="D5" s="29">
        <v>0.23</v>
      </c>
      <c r="E5" s="28" t="s">
        <v>13</v>
      </c>
      <c r="F5" s="60"/>
      <c r="G5" s="29">
        <v>0</v>
      </c>
      <c r="H5" s="29">
        <v>0</v>
      </c>
      <c r="I5" s="29">
        <v>0</v>
      </c>
      <c r="J5" s="43">
        <v>0</v>
      </c>
      <c r="K5" s="41">
        <v>1</v>
      </c>
      <c r="L5" s="41">
        <v>0</v>
      </c>
      <c r="M5" s="69"/>
    </row>
    <row r="6" spans="1:16" ht="23.25" customHeight="1" x14ac:dyDescent="0.25">
      <c r="A6" s="29" t="s">
        <v>7</v>
      </c>
      <c r="B6" s="29">
        <v>0.1</v>
      </c>
      <c r="C6" s="29">
        <v>7.0000000000000007E-2</v>
      </c>
      <c r="D6" s="29">
        <v>0.13</v>
      </c>
      <c r="E6" s="28" t="s">
        <v>14</v>
      </c>
      <c r="F6" s="60"/>
      <c r="G6" s="29">
        <v>0</v>
      </c>
      <c r="H6" s="29">
        <v>0</v>
      </c>
      <c r="I6" s="29">
        <v>0</v>
      </c>
      <c r="J6" s="43">
        <v>0</v>
      </c>
      <c r="K6" s="41">
        <v>1</v>
      </c>
      <c r="L6" s="41">
        <v>0</v>
      </c>
      <c r="M6" s="69"/>
    </row>
    <row r="7" spans="1:16" ht="23.25" customHeight="1" x14ac:dyDescent="0.25">
      <c r="A7" s="29" t="s">
        <v>8</v>
      </c>
      <c r="B7" s="29">
        <v>0.12</v>
      </c>
      <c r="C7" s="29">
        <v>0.08</v>
      </c>
      <c r="D7" s="29">
        <v>0.16</v>
      </c>
      <c r="E7" s="28" t="s">
        <v>15</v>
      </c>
      <c r="F7" s="60"/>
      <c r="G7" s="29">
        <v>1</v>
      </c>
      <c r="H7" s="29">
        <v>0</v>
      </c>
      <c r="I7" s="29">
        <v>0</v>
      </c>
      <c r="J7" s="43">
        <v>0</v>
      </c>
      <c r="K7" s="41">
        <v>1</v>
      </c>
      <c r="L7" s="29">
        <v>0</v>
      </c>
    </row>
    <row r="8" spans="1:16" ht="23.25" customHeight="1" x14ac:dyDescent="0.25">
      <c r="A8" s="29" t="s">
        <v>9</v>
      </c>
      <c r="B8" s="29">
        <v>0.16</v>
      </c>
      <c r="C8" s="29">
        <v>0.12</v>
      </c>
      <c r="D8" s="29">
        <v>0.2</v>
      </c>
      <c r="E8" s="28" t="s">
        <v>16</v>
      </c>
      <c r="F8" s="60"/>
      <c r="G8" s="29">
        <v>1</v>
      </c>
      <c r="H8" s="29">
        <v>0</v>
      </c>
      <c r="I8" s="29">
        <v>0</v>
      </c>
      <c r="J8" s="43">
        <v>0</v>
      </c>
      <c r="K8" s="29">
        <v>1</v>
      </c>
      <c r="L8" s="41">
        <v>0</v>
      </c>
      <c r="M8" s="69"/>
      <c r="P8"/>
    </row>
    <row r="9" spans="1:16" ht="23.25" customHeight="1" x14ac:dyDescent="0.25">
      <c r="A9" s="29" t="s">
        <v>49</v>
      </c>
      <c r="B9" s="29">
        <v>0.12</v>
      </c>
      <c r="C9" s="29">
        <v>0.08</v>
      </c>
      <c r="D9" s="29">
        <v>0.16</v>
      </c>
      <c r="E9" s="28" t="s">
        <v>55</v>
      </c>
      <c r="F9" s="60"/>
      <c r="G9" s="29">
        <v>1</v>
      </c>
      <c r="H9" s="29">
        <v>0</v>
      </c>
      <c r="I9" s="29">
        <v>0</v>
      </c>
      <c r="J9" s="43">
        <v>0</v>
      </c>
      <c r="K9" s="29">
        <v>0</v>
      </c>
      <c r="L9" s="41">
        <v>1</v>
      </c>
      <c r="M9" s="69"/>
    </row>
    <row r="10" spans="1:16" ht="23.25" customHeight="1" x14ac:dyDescent="0.25">
      <c r="A10" s="29" t="s">
        <v>53</v>
      </c>
      <c r="B10" s="29">
        <v>0.08</v>
      </c>
      <c r="C10" s="29">
        <v>0.06</v>
      </c>
      <c r="D10" s="29">
        <v>0.1</v>
      </c>
      <c r="E10" s="28" t="s">
        <v>56</v>
      </c>
      <c r="F10" s="60"/>
      <c r="G10" s="29">
        <v>0</v>
      </c>
      <c r="H10" s="29">
        <v>0</v>
      </c>
      <c r="I10" s="29">
        <v>0</v>
      </c>
      <c r="J10" s="43">
        <v>1</v>
      </c>
      <c r="K10" s="29">
        <v>0</v>
      </c>
      <c r="L10" s="41">
        <v>1</v>
      </c>
      <c r="M10" s="69"/>
    </row>
    <row r="11" spans="1:16" ht="23.25" customHeight="1" x14ac:dyDescent="0.25">
      <c r="A11" s="29" t="s">
        <v>54</v>
      </c>
      <c r="B11" s="29">
        <v>0.16</v>
      </c>
      <c r="C11" s="29">
        <v>0.13</v>
      </c>
      <c r="D11" s="29">
        <v>0.19</v>
      </c>
      <c r="E11" s="28" t="s">
        <v>57</v>
      </c>
      <c r="F11" s="60"/>
      <c r="G11" s="29">
        <v>0</v>
      </c>
      <c r="H11" s="29">
        <v>1</v>
      </c>
      <c r="I11" s="29">
        <v>0</v>
      </c>
      <c r="J11" s="43">
        <v>0</v>
      </c>
      <c r="K11" s="29">
        <v>1</v>
      </c>
      <c r="L11" s="41">
        <v>0</v>
      </c>
    </row>
    <row r="12" spans="1:16" ht="23.25" customHeight="1" x14ac:dyDescent="0.25">
      <c r="A12" s="29" t="s">
        <v>89</v>
      </c>
      <c r="B12" s="29">
        <v>0.04</v>
      </c>
      <c r="C12" s="29">
        <v>0.02</v>
      </c>
      <c r="D12" s="29">
        <v>0.06</v>
      </c>
      <c r="E12" s="28" t="s">
        <v>90</v>
      </c>
      <c r="F12" s="60"/>
      <c r="G12" s="29">
        <v>0</v>
      </c>
      <c r="H12" s="29">
        <v>0</v>
      </c>
      <c r="I12" s="29">
        <v>1</v>
      </c>
      <c r="J12" s="43">
        <v>0</v>
      </c>
      <c r="K12" s="29">
        <v>1</v>
      </c>
      <c r="L12" s="41">
        <v>0</v>
      </c>
    </row>
    <row r="13" spans="1:16" x14ac:dyDescent="0.25">
      <c r="A13" s="2" t="s">
        <v>10</v>
      </c>
      <c r="B13" s="150">
        <f>SUM(B4:B12)</f>
        <v>1</v>
      </c>
      <c r="C13" s="3"/>
      <c r="D13" s="3"/>
      <c r="E13" s="4" t="s">
        <v>22</v>
      </c>
      <c r="F13" s="60"/>
      <c r="G13" s="60"/>
      <c r="H13" s="60"/>
      <c r="I13" s="60"/>
      <c r="J13" s="60"/>
    </row>
    <row r="14" spans="1:16" x14ac:dyDescent="0.25">
      <c r="A14" s="59"/>
      <c r="B14" s="60"/>
      <c r="C14" s="60"/>
      <c r="D14" s="60"/>
      <c r="E14" s="60"/>
      <c r="F14" s="60"/>
      <c r="G14" s="60"/>
      <c r="H14" s="60"/>
      <c r="I14" s="60"/>
      <c r="J14" s="60"/>
    </row>
    <row r="15" spans="1:16" x14ac:dyDescent="0.25">
      <c r="A15" s="59"/>
      <c r="B15" s="60"/>
      <c r="C15" s="60"/>
      <c r="D15" s="60"/>
      <c r="E15" s="60"/>
      <c r="F15" s="60"/>
      <c r="G15" s="60"/>
      <c r="H15" s="60"/>
      <c r="I15" s="60"/>
      <c r="J15" s="60"/>
    </row>
    <row r="16" spans="1:16" x14ac:dyDescent="0.25">
      <c r="A16" s="59"/>
      <c r="B16" s="60"/>
      <c r="C16" s="60"/>
      <c r="D16" s="60"/>
      <c r="E16" s="60"/>
      <c r="F16" s="60"/>
      <c r="G16" s="61"/>
      <c r="H16" s="60"/>
      <c r="I16" s="60"/>
      <c r="J16" s="60"/>
    </row>
    <row r="17" spans="1:10" x14ac:dyDescent="0.25">
      <c r="A17" s="95"/>
      <c r="B17" s="60"/>
      <c r="C17" s="60"/>
      <c r="D17" s="60"/>
      <c r="E17" s="61"/>
      <c r="F17" s="61"/>
      <c r="G17" s="60"/>
      <c r="H17" s="60"/>
      <c r="I17" s="60"/>
      <c r="J17" s="60"/>
    </row>
    <row r="18" spans="1:10" x14ac:dyDescent="0.25">
      <c r="A18" s="95"/>
      <c r="B18" s="60"/>
      <c r="C18" s="60"/>
      <c r="D18" s="60"/>
      <c r="E18" s="60"/>
      <c r="F18" s="60"/>
      <c r="G18" s="60"/>
      <c r="H18" s="65"/>
      <c r="I18" s="60"/>
      <c r="J18" s="60"/>
    </row>
    <row r="19" spans="1:10" x14ac:dyDescent="0.25">
      <c r="A19" s="95"/>
      <c r="B19" s="60"/>
      <c r="C19" s="60"/>
      <c r="D19" s="62"/>
      <c r="E19" s="60"/>
      <c r="F19" s="60"/>
      <c r="G19" s="60"/>
      <c r="H19" s="60"/>
      <c r="I19" s="60"/>
      <c r="J19" s="60"/>
    </row>
    <row r="20" spans="1:10" x14ac:dyDescent="0.25">
      <c r="A20" s="95"/>
      <c r="B20" s="60"/>
      <c r="C20" s="60"/>
      <c r="D20" s="60"/>
      <c r="E20" s="60"/>
      <c r="F20" s="60"/>
      <c r="G20" s="60"/>
      <c r="H20" s="60"/>
      <c r="I20" s="60"/>
      <c r="J20" s="60"/>
    </row>
    <row r="21" spans="1:10" x14ac:dyDescent="0.25">
      <c r="A21" s="95"/>
      <c r="B21" s="60"/>
      <c r="C21" s="60"/>
      <c r="D21" s="60"/>
      <c r="E21" s="60"/>
      <c r="F21" s="60"/>
      <c r="G21" s="60"/>
      <c r="H21" s="60"/>
      <c r="I21" s="60"/>
      <c r="J21" s="60"/>
    </row>
    <row r="22" spans="1:10" x14ac:dyDescent="0.25">
      <c r="A22" s="95"/>
      <c r="B22" s="60"/>
      <c r="C22" s="60"/>
      <c r="D22" s="60"/>
      <c r="E22" s="60"/>
      <c r="F22" s="60"/>
      <c r="G22" s="60"/>
      <c r="H22" s="60"/>
      <c r="I22" s="60"/>
      <c r="J22" s="60"/>
    </row>
    <row r="23" spans="1:10" x14ac:dyDescent="0.25">
      <c r="A23" s="95"/>
      <c r="B23" s="60"/>
      <c r="C23" s="60"/>
      <c r="D23" s="60"/>
      <c r="E23" s="60"/>
      <c r="F23" s="60"/>
      <c r="G23" s="60"/>
      <c r="H23" s="60"/>
      <c r="I23" s="60"/>
      <c r="J23" s="60"/>
    </row>
    <row r="24" spans="1:10" x14ac:dyDescent="0.25">
      <c r="A24" s="95"/>
      <c r="B24" s="60"/>
      <c r="C24" s="60"/>
      <c r="D24" s="60"/>
      <c r="E24" s="60"/>
      <c r="F24" s="60"/>
      <c r="G24" s="60"/>
      <c r="H24" s="60"/>
      <c r="I24" s="60"/>
      <c r="J24" s="60"/>
    </row>
    <row r="25" spans="1:10" x14ac:dyDescent="0.25">
      <c r="A25" s="59"/>
      <c r="B25" s="60"/>
      <c r="C25" s="60"/>
      <c r="D25" s="60"/>
      <c r="E25" s="60"/>
      <c r="F25" s="60"/>
      <c r="G25" s="60"/>
      <c r="H25" s="60"/>
      <c r="I25" s="60"/>
      <c r="J25" s="60"/>
    </row>
    <row r="26" spans="1:10" x14ac:dyDescent="0.25">
      <c r="A26" s="59"/>
      <c r="B26" s="60"/>
      <c r="C26" s="60"/>
      <c r="D26" s="60"/>
      <c r="E26" s="60"/>
      <c r="F26" s="60"/>
      <c r="G26" s="60"/>
      <c r="H26" s="60"/>
      <c r="I26" s="60"/>
      <c r="J26" s="60"/>
    </row>
    <row r="27" spans="1:10" x14ac:dyDescent="0.25">
      <c r="A27" s="59"/>
      <c r="B27" s="60"/>
      <c r="C27" s="60"/>
      <c r="D27" s="60"/>
      <c r="E27" s="60"/>
      <c r="F27" s="60"/>
      <c r="G27" s="60"/>
      <c r="H27" s="60"/>
      <c r="I27" s="60"/>
      <c r="J27" s="60"/>
    </row>
    <row r="28" spans="1:10" x14ac:dyDescent="0.25">
      <c r="A28" s="59"/>
      <c r="B28" s="60"/>
      <c r="C28" s="60"/>
      <c r="D28" s="60"/>
      <c r="E28" s="60"/>
      <c r="F28" s="60"/>
      <c r="G28" s="60"/>
      <c r="H28" s="60"/>
      <c r="I28" s="60"/>
      <c r="J28" s="60"/>
    </row>
    <row r="29" spans="1:10" x14ac:dyDescent="0.25">
      <c r="A29" s="59"/>
      <c r="B29" s="60"/>
      <c r="C29" s="60"/>
      <c r="D29" s="60"/>
      <c r="E29" s="60"/>
      <c r="F29" s="60"/>
      <c r="G29" s="60"/>
      <c r="H29" s="60"/>
      <c r="I29" s="60"/>
      <c r="J29" s="60"/>
    </row>
    <row r="30" spans="1:10" x14ac:dyDescent="0.25">
      <c r="A30" s="59"/>
      <c r="B30" s="60"/>
      <c r="C30" s="60"/>
      <c r="D30" s="60"/>
      <c r="E30" s="60"/>
      <c r="F30" s="60"/>
      <c r="G30" s="60"/>
      <c r="H30" s="60"/>
      <c r="I30" s="60"/>
      <c r="J30" s="60"/>
    </row>
    <row r="31" spans="1:10" x14ac:dyDescent="0.25">
      <c r="A31" s="59"/>
      <c r="B31" s="60"/>
      <c r="C31" s="60"/>
      <c r="D31" s="60"/>
      <c r="E31" s="60"/>
      <c r="F31" s="60"/>
      <c r="G31" s="60"/>
      <c r="H31" s="60"/>
      <c r="I31" s="60"/>
      <c r="J31" s="60"/>
    </row>
    <row r="32" spans="1:10" x14ac:dyDescent="0.25">
      <c r="A32" s="59"/>
      <c r="B32" s="60"/>
      <c r="C32" s="60"/>
      <c r="D32" s="60"/>
      <c r="E32" s="60"/>
      <c r="F32" s="60"/>
      <c r="G32" s="60"/>
      <c r="H32" s="60"/>
      <c r="I32" s="60"/>
      <c r="J32" s="60"/>
    </row>
    <row r="33" spans="1:10" x14ac:dyDescent="0.25">
      <c r="A33" s="59"/>
      <c r="B33" s="60"/>
      <c r="C33" s="60"/>
      <c r="D33" s="60"/>
      <c r="E33" s="60"/>
      <c r="F33" s="60"/>
      <c r="G33" s="60"/>
      <c r="H33" s="60"/>
      <c r="I33" s="60"/>
      <c r="J33" s="60"/>
    </row>
    <row r="34" spans="1:10" x14ac:dyDescent="0.25">
      <c r="A34" s="59"/>
      <c r="B34" s="60"/>
      <c r="C34" s="60"/>
      <c r="D34" s="60"/>
      <c r="E34" s="60"/>
      <c r="F34" s="60"/>
      <c r="G34" s="60"/>
      <c r="H34" s="60"/>
      <c r="I34" s="60"/>
      <c r="J34" s="60"/>
    </row>
    <row r="35" spans="1:10" x14ac:dyDescent="0.25">
      <c r="A35" s="59"/>
      <c r="B35" s="60"/>
      <c r="C35" s="60"/>
      <c r="D35" s="60"/>
      <c r="E35" s="60"/>
      <c r="F35" s="60"/>
      <c r="G35" s="60"/>
      <c r="H35" s="60"/>
      <c r="I35" s="60"/>
      <c r="J35" s="60"/>
    </row>
    <row r="36" spans="1:10" x14ac:dyDescent="0.25">
      <c r="A36" s="59"/>
      <c r="B36" s="60"/>
      <c r="C36" s="60"/>
      <c r="D36" s="60"/>
      <c r="E36" s="60"/>
      <c r="F36" s="60"/>
      <c r="G36" s="60"/>
      <c r="H36" s="60"/>
      <c r="I36" s="60"/>
      <c r="J36" s="60"/>
    </row>
    <row r="37" spans="1:10" x14ac:dyDescent="0.25">
      <c r="A37" s="59"/>
      <c r="B37" s="60"/>
      <c r="C37" s="60"/>
      <c r="D37" s="60"/>
      <c r="E37" s="60"/>
      <c r="F37" s="60"/>
      <c r="G37" s="60"/>
      <c r="H37" s="60"/>
      <c r="I37" s="60"/>
      <c r="J37" s="60"/>
    </row>
    <row r="38" spans="1:10" x14ac:dyDescent="0.25">
      <c r="A38" s="59"/>
      <c r="B38" s="60"/>
      <c r="C38" s="60"/>
      <c r="D38" s="60"/>
      <c r="E38" s="60"/>
      <c r="F38" s="60"/>
      <c r="G38" s="60"/>
      <c r="H38" s="60"/>
      <c r="I38" s="60"/>
      <c r="J38" s="60"/>
    </row>
    <row r="39" spans="1:10" x14ac:dyDescent="0.25">
      <c r="A39" s="59"/>
      <c r="B39" s="60"/>
      <c r="C39" s="60"/>
      <c r="D39" s="60"/>
      <c r="E39" s="60"/>
      <c r="F39" s="60"/>
      <c r="G39" s="60"/>
      <c r="H39" s="60"/>
      <c r="I39" s="60"/>
      <c r="J39" s="60"/>
    </row>
    <row r="40" spans="1:10" x14ac:dyDescent="0.25">
      <c r="A40" s="59"/>
      <c r="B40" s="60"/>
      <c r="C40" s="60"/>
      <c r="D40" s="60"/>
      <c r="E40" s="60"/>
      <c r="F40" s="60"/>
      <c r="G40" s="60"/>
      <c r="H40" s="60"/>
      <c r="I40" s="60"/>
      <c r="J40" s="60"/>
    </row>
    <row r="41" spans="1:10" x14ac:dyDescent="0.25">
      <c r="A41" s="59"/>
      <c r="B41" s="60"/>
      <c r="C41" s="60"/>
      <c r="D41" s="60"/>
      <c r="E41" s="60"/>
      <c r="F41" s="60"/>
      <c r="G41" s="60"/>
      <c r="H41" s="60"/>
      <c r="I41" s="60"/>
      <c r="J41" s="60"/>
    </row>
    <row r="42" spans="1:10" x14ac:dyDescent="0.25">
      <c r="A42" s="59"/>
      <c r="B42" s="60"/>
      <c r="C42" s="60"/>
      <c r="D42" s="60"/>
      <c r="E42" s="60"/>
      <c r="F42" s="60"/>
      <c r="G42" s="60"/>
      <c r="H42" s="60"/>
      <c r="I42" s="60"/>
      <c r="J42" s="60"/>
    </row>
    <row r="43" spans="1:10" x14ac:dyDescent="0.25">
      <c r="A43" s="59"/>
      <c r="B43" s="60"/>
      <c r="C43" s="60"/>
      <c r="D43" s="60"/>
      <c r="E43" s="60"/>
      <c r="F43" s="60"/>
      <c r="G43" s="60"/>
      <c r="H43" s="60"/>
      <c r="I43" s="60"/>
      <c r="J43" s="60"/>
    </row>
    <row r="44" spans="1:10" x14ac:dyDescent="0.25">
      <c r="A44" s="59"/>
      <c r="B44" s="60"/>
      <c r="C44" s="60"/>
      <c r="D44" s="60"/>
      <c r="E44" s="60"/>
      <c r="F44" s="60"/>
      <c r="G44" s="60"/>
      <c r="H44" s="60"/>
      <c r="I44" s="60"/>
      <c r="J44" s="60"/>
    </row>
    <row r="45" spans="1:10" x14ac:dyDescent="0.25">
      <c r="A45" s="59"/>
      <c r="B45" s="60"/>
      <c r="C45" s="60"/>
      <c r="D45" s="60"/>
      <c r="E45" s="60"/>
      <c r="F45" s="60"/>
      <c r="G45" s="60"/>
      <c r="H45" s="60"/>
      <c r="I45" s="60"/>
      <c r="J45" s="60"/>
    </row>
    <row r="46" spans="1:10" x14ac:dyDescent="0.25">
      <c r="A46" s="59"/>
      <c r="B46" s="60"/>
      <c r="C46" s="60"/>
      <c r="D46" s="60"/>
      <c r="E46" s="60"/>
      <c r="F46" s="60"/>
      <c r="G46" s="60"/>
      <c r="H46" s="60"/>
      <c r="I46" s="60"/>
      <c r="J46" s="60"/>
    </row>
    <row r="47" spans="1:10" x14ac:dyDescent="0.25">
      <c r="A47" s="59"/>
      <c r="B47" s="60"/>
      <c r="C47" s="60"/>
      <c r="D47" s="60"/>
      <c r="E47" s="60"/>
      <c r="F47" s="60"/>
      <c r="G47" s="60"/>
      <c r="H47" s="60"/>
      <c r="I47" s="60"/>
      <c r="J47" s="60"/>
    </row>
    <row r="48" spans="1:10" x14ac:dyDescent="0.25">
      <c r="A48" s="59"/>
      <c r="B48" s="60"/>
      <c r="C48" s="60"/>
      <c r="D48" s="60"/>
      <c r="E48" s="60"/>
      <c r="F48" s="60"/>
      <c r="G48" s="60"/>
      <c r="H48" s="60"/>
      <c r="I48" s="60"/>
      <c r="J48" s="60"/>
    </row>
    <row r="49" spans="1:10" x14ac:dyDescent="0.25">
      <c r="A49" s="59"/>
      <c r="B49" s="60"/>
      <c r="C49" s="60"/>
      <c r="D49" s="60"/>
      <c r="E49" s="60"/>
      <c r="F49" s="60"/>
      <c r="G49" s="60"/>
      <c r="H49" s="60"/>
      <c r="I49" s="60"/>
      <c r="J49" s="60"/>
    </row>
    <row r="50" spans="1:10" x14ac:dyDescent="0.25">
      <c r="A50" s="59"/>
      <c r="B50" s="60"/>
      <c r="C50" s="60"/>
      <c r="D50" s="60"/>
      <c r="E50" s="60"/>
      <c r="F50" s="60"/>
      <c r="G50" s="60"/>
      <c r="H50" s="60"/>
      <c r="I50" s="60"/>
      <c r="J50" s="60"/>
    </row>
    <row r="51" spans="1:10" x14ac:dyDescent="0.25">
      <c r="A51" s="59"/>
      <c r="B51" s="60"/>
      <c r="C51" s="60"/>
      <c r="D51" s="60"/>
      <c r="E51" s="60"/>
      <c r="F51" s="60"/>
      <c r="G51" s="60"/>
      <c r="H51" s="60"/>
      <c r="I51" s="60"/>
      <c r="J51" s="60"/>
    </row>
    <row r="52" spans="1:10" x14ac:dyDescent="0.25">
      <c r="A52" s="59"/>
      <c r="B52" s="60"/>
      <c r="C52" s="60"/>
      <c r="D52" s="60"/>
      <c r="E52" s="60"/>
      <c r="F52" s="60"/>
      <c r="G52" s="60"/>
      <c r="H52" s="60"/>
      <c r="I52" s="60"/>
      <c r="J52" s="60"/>
    </row>
    <row r="53" spans="1:10" x14ac:dyDescent="0.25">
      <c r="A53" s="59"/>
      <c r="B53" s="63"/>
      <c r="C53" s="63"/>
      <c r="D53" s="63"/>
      <c r="E53" s="63"/>
      <c r="F53" s="63"/>
      <c r="G53" s="63"/>
      <c r="H53" s="63"/>
      <c r="I53" s="63"/>
      <c r="J53" s="63"/>
    </row>
    <row r="54" spans="1:10" x14ac:dyDescent="0.25">
      <c r="A54" s="59"/>
      <c r="B54" s="63"/>
      <c r="C54" s="63"/>
      <c r="D54" s="63"/>
      <c r="E54" s="63"/>
      <c r="F54" s="63"/>
      <c r="G54" s="63"/>
      <c r="H54" s="63"/>
      <c r="I54" s="63"/>
      <c r="J54" s="63"/>
    </row>
    <row r="55" spans="1:10" x14ac:dyDescent="0.25">
      <c r="A55" s="59"/>
      <c r="B55" s="63"/>
      <c r="C55" s="63"/>
      <c r="D55" s="63"/>
      <c r="E55" s="63"/>
      <c r="F55" s="63"/>
      <c r="G55" s="63"/>
      <c r="H55" s="63"/>
      <c r="I55" s="63"/>
      <c r="J55" s="63"/>
    </row>
    <row r="56" spans="1:10" x14ac:dyDescent="0.25">
      <c r="A56" s="59"/>
      <c r="B56" s="63"/>
      <c r="C56" s="63"/>
      <c r="D56" s="63"/>
      <c r="E56" s="63"/>
      <c r="F56" s="63"/>
      <c r="G56" s="63"/>
      <c r="H56" s="63"/>
      <c r="I56" s="63"/>
      <c r="J56" s="63"/>
    </row>
    <row r="57" spans="1:10" x14ac:dyDescent="0.25">
      <c r="A57" s="59"/>
      <c r="B57" s="63"/>
      <c r="C57" s="63"/>
      <c r="D57" s="63"/>
      <c r="E57" s="63"/>
      <c r="F57" s="63"/>
      <c r="G57" s="63"/>
      <c r="H57" s="63"/>
      <c r="I57" s="63"/>
      <c r="J57" s="63"/>
    </row>
    <row r="58" spans="1:10" x14ac:dyDescent="0.25">
      <c r="A58" s="59"/>
      <c r="B58" s="63"/>
      <c r="C58" s="63"/>
      <c r="D58" s="63"/>
      <c r="E58" s="63"/>
      <c r="F58" s="63"/>
      <c r="G58" s="63"/>
      <c r="H58" s="63"/>
      <c r="I58" s="63"/>
      <c r="J58" s="63"/>
    </row>
    <row r="59" spans="1:10" x14ac:dyDescent="0.25">
      <c r="A59" s="59"/>
      <c r="B59" s="63"/>
      <c r="C59" s="63"/>
      <c r="D59" s="63"/>
      <c r="E59" s="63"/>
      <c r="F59" s="63"/>
      <c r="G59" s="63"/>
      <c r="H59" s="63"/>
      <c r="I59" s="63"/>
      <c r="J59" s="63"/>
    </row>
    <row r="60" spans="1:10" x14ac:dyDescent="0.25">
      <c r="A60" s="59"/>
      <c r="B60" s="63"/>
      <c r="C60" s="63"/>
      <c r="D60" s="63"/>
      <c r="E60" s="63"/>
      <c r="F60" s="63"/>
      <c r="G60" s="63"/>
      <c r="H60" s="63"/>
      <c r="I60" s="63"/>
      <c r="J60" s="63"/>
    </row>
    <row r="61" spans="1:10" x14ac:dyDescent="0.25">
      <c r="A61" s="59"/>
      <c r="B61" s="63"/>
      <c r="C61" s="63"/>
      <c r="D61" s="63"/>
      <c r="E61" s="63"/>
      <c r="F61" s="63"/>
      <c r="G61" s="63"/>
      <c r="H61" s="63"/>
      <c r="I61" s="63"/>
      <c r="J61" s="63"/>
    </row>
    <row r="62" spans="1:10" x14ac:dyDescent="0.25">
      <c r="A62" s="59"/>
      <c r="B62" s="63"/>
      <c r="C62" s="63"/>
      <c r="D62" s="63"/>
      <c r="E62" s="63"/>
      <c r="F62" s="63"/>
      <c r="G62" s="63"/>
      <c r="H62" s="63"/>
      <c r="I62" s="63"/>
      <c r="J62" s="63"/>
    </row>
    <row r="63" spans="1:10" x14ac:dyDescent="0.25">
      <c r="A63" s="59"/>
      <c r="B63" s="63"/>
      <c r="C63" s="63"/>
      <c r="D63" s="63"/>
      <c r="E63" s="63"/>
      <c r="F63" s="63"/>
      <c r="G63" s="63"/>
      <c r="H63" s="63"/>
      <c r="I63" s="63"/>
      <c r="J63" s="63"/>
    </row>
    <row r="64" spans="1:10" x14ac:dyDescent="0.25">
      <c r="A64" s="59"/>
      <c r="B64" s="63"/>
      <c r="C64" s="63"/>
      <c r="D64" s="63"/>
      <c r="E64" s="63"/>
      <c r="F64" s="63"/>
      <c r="G64" s="63"/>
      <c r="H64" s="63"/>
      <c r="I64" s="63"/>
      <c r="J64" s="63"/>
    </row>
    <row r="65" spans="1:10" x14ac:dyDescent="0.25">
      <c r="A65" s="59"/>
      <c r="B65" s="63"/>
      <c r="C65" s="63"/>
      <c r="D65" s="63"/>
      <c r="E65" s="63"/>
      <c r="F65" s="63"/>
      <c r="G65" s="63"/>
      <c r="H65" s="63"/>
      <c r="I65" s="63"/>
      <c r="J65" s="63"/>
    </row>
    <row r="66" spans="1:10" x14ac:dyDescent="0.25">
      <c r="A66" s="59"/>
      <c r="B66" s="63"/>
      <c r="C66" s="63"/>
      <c r="D66" s="63"/>
      <c r="E66" s="63"/>
      <c r="F66" s="63"/>
      <c r="G66" s="63"/>
      <c r="H66" s="63"/>
      <c r="I66" s="63"/>
      <c r="J66" s="63"/>
    </row>
    <row r="67" spans="1:10" x14ac:dyDescent="0.25">
      <c r="A67" s="59"/>
      <c r="B67" s="63"/>
      <c r="C67" s="63"/>
      <c r="D67" s="63"/>
      <c r="E67" s="63"/>
      <c r="F67" s="63"/>
      <c r="G67" s="63"/>
      <c r="H67" s="63"/>
      <c r="I67" s="63"/>
      <c r="J67" s="63"/>
    </row>
    <row r="68" spans="1:10" x14ac:dyDescent="0.25">
      <c r="A68" s="59"/>
      <c r="B68" s="63"/>
      <c r="C68" s="63"/>
      <c r="D68" s="63"/>
      <c r="E68" s="63"/>
      <c r="F68" s="63"/>
      <c r="G68" s="63"/>
      <c r="H68" s="63"/>
      <c r="I68" s="63"/>
      <c r="J68" s="63"/>
    </row>
    <row r="69" spans="1:10" x14ac:dyDescent="0.25">
      <c r="A69" s="59"/>
      <c r="B69" s="63"/>
      <c r="C69" s="63"/>
      <c r="D69" s="63"/>
      <c r="E69" s="63"/>
      <c r="F69" s="63"/>
      <c r="G69" s="63"/>
      <c r="H69" s="63"/>
      <c r="I69" s="63"/>
      <c r="J69" s="63"/>
    </row>
    <row r="70" spans="1:10" x14ac:dyDescent="0.25">
      <c r="A70" s="59"/>
      <c r="B70" s="63"/>
      <c r="C70" s="63"/>
      <c r="D70" s="63"/>
      <c r="E70" s="63"/>
      <c r="F70" s="63"/>
      <c r="G70" s="63"/>
      <c r="H70" s="63"/>
      <c r="I70" s="63"/>
      <c r="J70" s="63"/>
    </row>
    <row r="71" spans="1:10" x14ac:dyDescent="0.25">
      <c r="A71" s="59"/>
      <c r="B71" s="63"/>
      <c r="C71" s="63"/>
      <c r="D71" s="63"/>
      <c r="E71" s="63"/>
      <c r="F71" s="63"/>
      <c r="G71" s="63"/>
      <c r="H71" s="63"/>
      <c r="I71" s="63"/>
      <c r="J71" s="63"/>
    </row>
    <row r="72" spans="1:10" x14ac:dyDescent="0.25">
      <c r="A72" s="59"/>
      <c r="B72" s="63"/>
      <c r="C72" s="63"/>
      <c r="D72" s="63"/>
      <c r="E72" s="63"/>
      <c r="F72" s="63"/>
      <c r="G72" s="63"/>
      <c r="H72" s="63"/>
      <c r="I72" s="63"/>
      <c r="J72" s="63"/>
    </row>
    <row r="73" spans="1:10" x14ac:dyDescent="0.25">
      <c r="A73" s="59"/>
      <c r="B73" s="63"/>
      <c r="C73" s="63"/>
      <c r="D73" s="63"/>
      <c r="E73" s="63"/>
      <c r="F73" s="63"/>
      <c r="G73" s="63"/>
      <c r="H73" s="63"/>
      <c r="I73" s="63"/>
      <c r="J73" s="63"/>
    </row>
    <row r="74" spans="1:10" x14ac:dyDescent="0.25">
      <c r="A74" s="59"/>
      <c r="B74" s="63"/>
      <c r="C74" s="63"/>
      <c r="D74" s="63"/>
      <c r="E74" s="63"/>
      <c r="F74" s="63"/>
      <c r="G74" s="63"/>
      <c r="H74" s="63"/>
      <c r="I74" s="63"/>
      <c r="J74" s="63"/>
    </row>
    <row r="75" spans="1:10" x14ac:dyDescent="0.25">
      <c r="A75" s="59"/>
      <c r="B75" s="63"/>
      <c r="C75" s="63"/>
      <c r="D75" s="63"/>
      <c r="E75" s="63"/>
      <c r="F75" s="63"/>
      <c r="G75" s="63"/>
      <c r="H75" s="63"/>
      <c r="I75" s="63"/>
      <c r="J75" s="63"/>
    </row>
    <row r="76" spans="1:10" x14ac:dyDescent="0.25">
      <c r="A76" s="59"/>
      <c r="B76" s="63"/>
      <c r="C76" s="63"/>
      <c r="D76" s="63"/>
      <c r="E76" s="63"/>
      <c r="F76" s="63"/>
      <c r="G76" s="63"/>
      <c r="H76" s="63"/>
      <c r="I76" s="63"/>
      <c r="J76" s="63"/>
    </row>
    <row r="77" spans="1:10" x14ac:dyDescent="0.25">
      <c r="A77" s="59"/>
      <c r="B77" s="63"/>
      <c r="C77" s="63"/>
      <c r="D77" s="63"/>
      <c r="E77" s="63"/>
      <c r="F77" s="63"/>
      <c r="G77" s="63"/>
      <c r="H77" s="63"/>
      <c r="I77" s="63"/>
      <c r="J77" s="63"/>
    </row>
    <row r="78" spans="1:10" x14ac:dyDescent="0.25">
      <c r="A78" s="59"/>
      <c r="B78" s="63"/>
      <c r="C78" s="63"/>
      <c r="D78" s="63"/>
      <c r="E78" s="63"/>
      <c r="F78" s="63"/>
      <c r="G78" s="63"/>
      <c r="H78" s="63"/>
      <c r="I78" s="63"/>
      <c r="J78" s="63"/>
    </row>
    <row r="79" spans="1:10" x14ac:dyDescent="0.25">
      <c r="A79" s="59"/>
      <c r="B79" s="63"/>
      <c r="C79" s="63"/>
      <c r="D79" s="63"/>
      <c r="E79" s="63"/>
      <c r="F79" s="63"/>
      <c r="G79" s="63"/>
      <c r="H79" s="63"/>
      <c r="I79" s="63"/>
      <c r="J79" s="63"/>
    </row>
    <row r="80" spans="1:10" x14ac:dyDescent="0.25">
      <c r="A80" s="59"/>
      <c r="B80" s="63"/>
      <c r="C80" s="63"/>
      <c r="D80" s="63"/>
      <c r="E80" s="63"/>
      <c r="F80" s="63"/>
      <c r="G80" s="63"/>
      <c r="H80" s="63"/>
      <c r="I80" s="63"/>
      <c r="J80" s="63"/>
    </row>
    <row r="81" spans="1:10" x14ac:dyDescent="0.25">
      <c r="A81" s="59"/>
      <c r="B81" s="63"/>
      <c r="C81" s="63"/>
      <c r="D81" s="63"/>
      <c r="E81" s="63"/>
      <c r="F81" s="63"/>
      <c r="G81" s="63"/>
      <c r="H81" s="63"/>
      <c r="I81" s="63"/>
      <c r="J81" s="63"/>
    </row>
    <row r="82" spans="1:10" x14ac:dyDescent="0.25">
      <c r="A82" s="59"/>
      <c r="B82" s="63"/>
      <c r="C82" s="63"/>
      <c r="D82" s="63"/>
      <c r="E82" s="63"/>
      <c r="F82" s="63"/>
      <c r="G82" s="63"/>
      <c r="H82" s="63"/>
      <c r="I82" s="63"/>
      <c r="J82" s="63"/>
    </row>
    <row r="83" spans="1:10" x14ac:dyDescent="0.25">
      <c r="A83" s="59"/>
      <c r="B83" s="63"/>
      <c r="C83" s="63"/>
      <c r="D83" s="63"/>
      <c r="E83" s="63"/>
      <c r="F83" s="63"/>
      <c r="G83" s="63"/>
      <c r="H83" s="63"/>
      <c r="I83" s="63"/>
      <c r="J83" s="63"/>
    </row>
    <row r="84" spans="1:10" x14ac:dyDescent="0.25">
      <c r="A84" s="59"/>
      <c r="B84" s="63"/>
      <c r="C84" s="63"/>
      <c r="D84" s="63"/>
      <c r="E84" s="63"/>
      <c r="F84" s="63"/>
      <c r="G84" s="63"/>
      <c r="H84" s="63"/>
      <c r="I84" s="63"/>
      <c r="J84" s="63"/>
    </row>
    <row r="85" spans="1:10" x14ac:dyDescent="0.25">
      <c r="A85" s="59"/>
      <c r="B85" s="63"/>
      <c r="C85" s="63"/>
      <c r="D85" s="63"/>
      <c r="E85" s="63"/>
      <c r="F85" s="63"/>
      <c r="G85" s="63"/>
      <c r="H85" s="63"/>
      <c r="I85" s="63"/>
      <c r="J85" s="63"/>
    </row>
    <row r="86" spans="1:10" x14ac:dyDescent="0.25">
      <c r="A86" s="59"/>
      <c r="B86" s="63"/>
      <c r="C86" s="63"/>
      <c r="D86" s="63"/>
      <c r="E86" s="63"/>
      <c r="F86" s="63"/>
      <c r="G86" s="63"/>
      <c r="H86" s="63"/>
      <c r="I86" s="63"/>
      <c r="J86" s="63"/>
    </row>
    <row r="87" spans="1:10" x14ac:dyDescent="0.25">
      <c r="A87" s="59"/>
      <c r="B87" s="63"/>
      <c r="C87" s="63"/>
      <c r="D87" s="63"/>
      <c r="E87" s="63"/>
      <c r="F87" s="63"/>
      <c r="G87" s="63"/>
      <c r="H87" s="63"/>
      <c r="I87" s="63"/>
      <c r="J87" s="63"/>
    </row>
    <row r="88" spans="1:10" x14ac:dyDescent="0.25">
      <c r="A88" s="59"/>
      <c r="B88" s="63"/>
      <c r="C88" s="63"/>
      <c r="D88" s="63"/>
      <c r="E88" s="63"/>
      <c r="F88" s="63"/>
      <c r="G88" s="63"/>
      <c r="H88" s="63"/>
      <c r="I88" s="63"/>
      <c r="J88" s="63"/>
    </row>
    <row r="89" spans="1:10" x14ac:dyDescent="0.25">
      <c r="A89" s="59"/>
      <c r="B89" s="63"/>
      <c r="C89" s="63"/>
      <c r="D89" s="63"/>
      <c r="E89" s="63"/>
      <c r="F89" s="63"/>
      <c r="G89" s="63"/>
      <c r="H89" s="63"/>
      <c r="I89" s="63"/>
      <c r="J89" s="63"/>
    </row>
    <row r="90" spans="1:10" x14ac:dyDescent="0.25">
      <c r="A90" s="59"/>
      <c r="B90" s="63"/>
      <c r="C90" s="63"/>
      <c r="D90" s="63"/>
      <c r="E90" s="63"/>
      <c r="F90" s="63"/>
      <c r="G90" s="63"/>
      <c r="H90" s="63"/>
      <c r="I90" s="63"/>
      <c r="J90" s="63"/>
    </row>
    <row r="91" spans="1:10" x14ac:dyDescent="0.25">
      <c r="A91" s="59"/>
      <c r="B91" s="63"/>
      <c r="C91" s="63"/>
      <c r="D91" s="63"/>
      <c r="E91" s="63"/>
      <c r="F91" s="63"/>
      <c r="G91" s="63"/>
      <c r="H91" s="63"/>
      <c r="I91" s="63"/>
      <c r="J91" s="63"/>
    </row>
    <row r="92" spans="1:10" x14ac:dyDescent="0.25">
      <c r="A92" s="59"/>
      <c r="B92" s="63"/>
      <c r="C92" s="63"/>
      <c r="D92" s="63"/>
      <c r="E92" s="63"/>
      <c r="F92" s="63"/>
      <c r="G92" s="63"/>
      <c r="H92" s="63"/>
      <c r="I92" s="63"/>
      <c r="J92" s="63"/>
    </row>
    <row r="93" spans="1:10" x14ac:dyDescent="0.25">
      <c r="A93" s="59"/>
      <c r="B93" s="63"/>
      <c r="C93" s="63"/>
      <c r="D93" s="63"/>
      <c r="E93" s="63"/>
      <c r="F93" s="63"/>
      <c r="G93" s="63"/>
      <c r="H93" s="63"/>
      <c r="I93" s="63"/>
      <c r="J93" s="63"/>
    </row>
    <row r="94" spans="1:10" x14ac:dyDescent="0.25">
      <c r="A94" s="59"/>
      <c r="B94" s="63"/>
      <c r="C94" s="63"/>
      <c r="D94" s="63"/>
      <c r="E94" s="63"/>
      <c r="F94" s="63"/>
      <c r="G94" s="63"/>
      <c r="H94" s="63"/>
      <c r="I94" s="63"/>
      <c r="J94" s="63"/>
    </row>
    <row r="95" spans="1:10" x14ac:dyDescent="0.25">
      <c r="A95" s="59"/>
      <c r="B95" s="63"/>
      <c r="C95" s="63"/>
      <c r="D95" s="63"/>
      <c r="E95" s="63"/>
      <c r="F95" s="63"/>
      <c r="G95" s="63"/>
      <c r="H95" s="63"/>
      <c r="I95" s="63"/>
      <c r="J95" s="63"/>
    </row>
    <row r="96" spans="1:10" x14ac:dyDescent="0.25">
      <c r="A96" s="59"/>
      <c r="B96" s="63"/>
      <c r="C96" s="63"/>
      <c r="D96" s="63"/>
      <c r="E96" s="63"/>
      <c r="F96" s="63"/>
      <c r="G96" s="63"/>
      <c r="H96" s="63"/>
      <c r="I96" s="63"/>
      <c r="J96" s="63"/>
    </row>
    <row r="97" spans="1:10" x14ac:dyDescent="0.25">
      <c r="A97" s="59"/>
      <c r="B97" s="63"/>
      <c r="C97" s="63"/>
      <c r="D97" s="63"/>
      <c r="E97" s="63"/>
      <c r="F97" s="63"/>
      <c r="G97" s="63"/>
      <c r="H97" s="63"/>
      <c r="I97" s="63"/>
      <c r="J97" s="63"/>
    </row>
    <row r="98" spans="1:10" x14ac:dyDescent="0.25">
      <c r="A98" s="59"/>
      <c r="B98" s="63"/>
      <c r="C98" s="63"/>
      <c r="D98" s="63"/>
      <c r="E98" s="63"/>
      <c r="F98" s="63"/>
      <c r="G98" s="63"/>
      <c r="H98" s="63"/>
      <c r="I98" s="63"/>
      <c r="J98" s="63"/>
    </row>
    <row r="99" spans="1:10" x14ac:dyDescent="0.25">
      <c r="A99" s="59"/>
      <c r="B99" s="63"/>
      <c r="C99" s="63"/>
      <c r="D99" s="63"/>
      <c r="E99" s="63"/>
      <c r="F99" s="63"/>
      <c r="G99" s="63"/>
      <c r="H99" s="63"/>
      <c r="I99" s="63"/>
      <c r="J99" s="63"/>
    </row>
    <row r="100" spans="1:10" x14ac:dyDescent="0.25">
      <c r="A100" s="59"/>
      <c r="B100" s="63"/>
      <c r="C100" s="63"/>
      <c r="D100" s="63"/>
      <c r="E100" s="63"/>
      <c r="F100" s="63"/>
      <c r="G100" s="63"/>
      <c r="H100" s="63"/>
      <c r="I100" s="63"/>
      <c r="J100" s="63"/>
    </row>
    <row r="101" spans="1:10" x14ac:dyDescent="0.25">
      <c r="A101" s="59"/>
      <c r="B101" s="63"/>
      <c r="C101" s="63"/>
      <c r="D101" s="63"/>
      <c r="E101" s="63"/>
      <c r="F101" s="63"/>
      <c r="G101" s="63"/>
      <c r="H101" s="63"/>
      <c r="I101" s="63"/>
      <c r="J101" s="63"/>
    </row>
    <row r="102" spans="1:10" x14ac:dyDescent="0.25">
      <c r="A102" s="59"/>
      <c r="B102" s="63"/>
      <c r="C102" s="63"/>
      <c r="D102" s="63"/>
      <c r="E102" s="63"/>
      <c r="F102" s="63"/>
      <c r="G102" s="63"/>
      <c r="H102" s="63"/>
      <c r="I102" s="63"/>
      <c r="J102" s="63"/>
    </row>
    <row r="103" spans="1:10" x14ac:dyDescent="0.25">
      <c r="A103" s="59"/>
      <c r="B103" s="63"/>
      <c r="C103" s="63"/>
      <c r="D103" s="63"/>
      <c r="E103" s="63"/>
      <c r="F103" s="63"/>
      <c r="G103" s="63"/>
      <c r="H103" s="63"/>
      <c r="I103" s="63"/>
      <c r="J103" s="63"/>
    </row>
    <row r="104" spans="1:10" x14ac:dyDescent="0.25">
      <c r="A104" s="59"/>
      <c r="B104" s="63"/>
      <c r="C104" s="63"/>
      <c r="D104" s="63"/>
      <c r="E104" s="63"/>
      <c r="F104" s="63"/>
      <c r="G104" s="63"/>
      <c r="H104" s="63"/>
      <c r="I104" s="63"/>
      <c r="J104" s="63"/>
    </row>
    <row r="105" spans="1:10" x14ac:dyDescent="0.25">
      <c r="A105" s="59"/>
      <c r="B105" s="63"/>
      <c r="C105" s="63"/>
      <c r="D105" s="63"/>
      <c r="E105" s="63"/>
      <c r="F105" s="63"/>
      <c r="G105" s="63"/>
      <c r="H105" s="63"/>
      <c r="I105" s="63"/>
      <c r="J105" s="63"/>
    </row>
    <row r="106" spans="1:10" x14ac:dyDescent="0.25">
      <c r="A106" s="59"/>
      <c r="B106" s="63"/>
      <c r="C106" s="63"/>
      <c r="D106" s="63"/>
      <c r="E106" s="63"/>
      <c r="F106" s="63"/>
      <c r="G106" s="63"/>
      <c r="H106" s="63"/>
      <c r="I106" s="63"/>
      <c r="J106" s="63"/>
    </row>
    <row r="107" spans="1:10" x14ac:dyDescent="0.25">
      <c r="A107" s="59"/>
      <c r="B107" s="63"/>
      <c r="C107" s="63"/>
      <c r="D107" s="63"/>
      <c r="E107" s="63"/>
      <c r="F107" s="63"/>
      <c r="G107" s="63"/>
      <c r="H107" s="63"/>
      <c r="I107" s="63"/>
      <c r="J107" s="63"/>
    </row>
    <row r="108" spans="1:10" x14ac:dyDescent="0.25">
      <c r="A108" s="59"/>
      <c r="B108" s="63"/>
      <c r="C108" s="63"/>
      <c r="D108" s="63"/>
      <c r="E108" s="63"/>
      <c r="F108" s="63"/>
      <c r="G108" s="63"/>
      <c r="H108" s="63"/>
      <c r="I108" s="63"/>
      <c r="J108" s="63"/>
    </row>
    <row r="109" spans="1:10" x14ac:dyDescent="0.25">
      <c r="A109" s="59"/>
      <c r="B109" s="63"/>
      <c r="C109" s="63"/>
      <c r="D109" s="63"/>
      <c r="E109" s="63"/>
      <c r="F109" s="63"/>
      <c r="G109" s="63"/>
      <c r="H109" s="63"/>
      <c r="I109" s="63"/>
      <c r="J109" s="63"/>
    </row>
    <row r="110" spans="1:10" x14ac:dyDescent="0.25">
      <c r="A110" s="59"/>
      <c r="B110" s="63"/>
      <c r="C110" s="63"/>
      <c r="D110" s="63"/>
      <c r="E110" s="63"/>
      <c r="F110" s="63"/>
      <c r="G110" s="63"/>
      <c r="H110" s="63"/>
      <c r="I110" s="63"/>
      <c r="J110" s="63"/>
    </row>
    <row r="111" spans="1:10" x14ac:dyDescent="0.25">
      <c r="A111" s="59"/>
      <c r="B111" s="63"/>
      <c r="C111" s="63"/>
      <c r="D111" s="63"/>
      <c r="E111" s="63"/>
      <c r="F111" s="63"/>
      <c r="G111" s="63"/>
      <c r="H111" s="63"/>
      <c r="I111" s="63"/>
      <c r="J111" s="63"/>
    </row>
    <row r="112" spans="1:10" x14ac:dyDescent="0.25">
      <c r="A112" s="59"/>
      <c r="B112" s="63"/>
      <c r="C112" s="63"/>
      <c r="D112" s="63"/>
      <c r="E112" s="63"/>
      <c r="F112" s="63"/>
      <c r="G112" s="63"/>
      <c r="H112" s="63"/>
      <c r="I112" s="63"/>
      <c r="J112" s="63"/>
    </row>
    <row r="113" spans="1:10" x14ac:dyDescent="0.25">
      <c r="A113" s="59"/>
      <c r="B113" s="63"/>
      <c r="C113" s="63"/>
      <c r="D113" s="63"/>
      <c r="E113" s="63"/>
      <c r="F113" s="63"/>
      <c r="G113" s="63"/>
      <c r="H113" s="63"/>
      <c r="I113" s="63"/>
      <c r="J113" s="63"/>
    </row>
    <row r="114" spans="1:10" x14ac:dyDescent="0.25">
      <c r="A114" s="59"/>
      <c r="B114" s="63"/>
      <c r="C114" s="63"/>
      <c r="D114" s="63"/>
      <c r="E114" s="63"/>
      <c r="F114" s="63"/>
      <c r="G114" s="63"/>
      <c r="H114" s="63"/>
      <c r="I114" s="63"/>
      <c r="J114" s="63"/>
    </row>
    <row r="115" spans="1:10" x14ac:dyDescent="0.25">
      <c r="A115" s="59"/>
      <c r="B115" s="63"/>
      <c r="C115" s="63"/>
      <c r="D115" s="63"/>
      <c r="E115" s="63"/>
      <c r="F115" s="63"/>
      <c r="G115" s="63"/>
      <c r="H115" s="63"/>
      <c r="I115" s="63"/>
      <c r="J115" s="63"/>
    </row>
    <row r="116" spans="1:10" x14ac:dyDescent="0.25">
      <c r="A116" s="59"/>
      <c r="B116" s="63"/>
      <c r="C116" s="63"/>
      <c r="D116" s="63"/>
      <c r="E116" s="63"/>
      <c r="F116" s="63"/>
      <c r="G116" s="63"/>
      <c r="H116" s="63"/>
      <c r="I116" s="63"/>
      <c r="J116" s="63"/>
    </row>
    <row r="117" spans="1:10" x14ac:dyDescent="0.25">
      <c r="A117" s="59"/>
      <c r="B117" s="63"/>
      <c r="C117" s="63"/>
      <c r="D117" s="63"/>
      <c r="E117" s="63"/>
      <c r="F117" s="63"/>
      <c r="G117" s="63"/>
      <c r="H117" s="63"/>
      <c r="I117" s="63"/>
      <c r="J117" s="63"/>
    </row>
    <row r="118" spans="1:10" x14ac:dyDescent="0.25">
      <c r="A118" s="59"/>
      <c r="B118" s="63"/>
      <c r="C118" s="63"/>
      <c r="D118" s="63"/>
      <c r="E118" s="63"/>
      <c r="F118" s="63"/>
      <c r="G118" s="63"/>
      <c r="H118" s="63"/>
      <c r="I118" s="63"/>
      <c r="J118" s="63"/>
    </row>
    <row r="119" spans="1:10" x14ac:dyDescent="0.25">
      <c r="A119" s="59"/>
      <c r="B119" s="63"/>
      <c r="C119" s="63"/>
      <c r="D119" s="63"/>
      <c r="E119" s="63"/>
      <c r="F119" s="63"/>
      <c r="G119" s="63"/>
      <c r="H119" s="63"/>
      <c r="I119" s="63"/>
      <c r="J119" s="63"/>
    </row>
    <row r="120" spans="1:10" x14ac:dyDescent="0.25">
      <c r="A120" s="59"/>
      <c r="B120" s="63"/>
      <c r="C120" s="63"/>
      <c r="D120" s="63"/>
      <c r="E120" s="63"/>
      <c r="F120" s="63"/>
      <c r="G120" s="63"/>
      <c r="H120" s="63"/>
      <c r="I120" s="63"/>
      <c r="J120" s="63"/>
    </row>
    <row r="121" spans="1:10" x14ac:dyDescent="0.25">
      <c r="A121" s="59"/>
      <c r="B121" s="63"/>
      <c r="C121" s="63"/>
      <c r="D121" s="63"/>
      <c r="E121" s="63"/>
      <c r="F121" s="63"/>
      <c r="G121" s="63"/>
      <c r="H121" s="63"/>
      <c r="I121" s="63"/>
      <c r="J121" s="63"/>
    </row>
    <row r="122" spans="1:10" x14ac:dyDescent="0.25">
      <c r="A122" s="59"/>
      <c r="B122" s="63"/>
      <c r="C122" s="63"/>
      <c r="D122" s="63"/>
      <c r="E122" s="63"/>
      <c r="F122" s="63"/>
      <c r="G122" s="63"/>
      <c r="H122" s="63"/>
      <c r="I122" s="63"/>
      <c r="J122" s="63"/>
    </row>
    <row r="123" spans="1:10" x14ac:dyDescent="0.25">
      <c r="A123" s="59"/>
      <c r="B123" s="63"/>
      <c r="C123" s="63"/>
      <c r="D123" s="63"/>
      <c r="E123" s="63"/>
      <c r="F123" s="63"/>
      <c r="G123" s="63"/>
      <c r="H123" s="63"/>
      <c r="I123" s="63"/>
      <c r="J123" s="63"/>
    </row>
    <row r="124" spans="1:10" x14ac:dyDescent="0.25">
      <c r="A124" s="59"/>
      <c r="B124" s="63"/>
      <c r="C124" s="63"/>
      <c r="D124" s="63"/>
      <c r="E124" s="63"/>
      <c r="F124" s="63"/>
      <c r="G124" s="63"/>
      <c r="H124" s="63"/>
      <c r="I124" s="63"/>
      <c r="J124" s="63"/>
    </row>
  </sheetData>
  <mergeCells count="7">
    <mergeCell ref="K2:L2"/>
    <mergeCell ref="G1:L1"/>
    <mergeCell ref="B1:B3"/>
    <mergeCell ref="E1:E3"/>
    <mergeCell ref="A1:A3"/>
    <mergeCell ref="C1:D2"/>
    <mergeCell ref="G2:J2"/>
  </mergeCells>
  <phoneticPr fontId="28" type="noConversion"/>
  <pageMargins left="0.7" right="0.7" top="0.78740157499999996" bottom="0.78740157499999996" header="0.3" footer="0.3"/>
  <pageSetup paperSize="9"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M176"/>
  <sheetViews>
    <sheetView tabSelected="1" zoomScale="95" zoomScaleNormal="100" workbookViewId="0">
      <pane ySplit="1" topLeftCell="A28" activePane="bottomLeft" state="frozen"/>
      <selection pane="bottomLeft" activeCell="C67" sqref="C67"/>
    </sheetView>
  </sheetViews>
  <sheetFormatPr baseColWidth="10" defaultColWidth="11.42578125" defaultRowHeight="14.25" x14ac:dyDescent="0.2"/>
  <cols>
    <col min="1" max="1" width="11.42578125" style="49"/>
    <col min="2" max="2" width="27" style="49" customWidth="1"/>
    <col min="3" max="3" width="21" style="49" customWidth="1"/>
    <col min="4" max="4" width="19.42578125" style="49" customWidth="1"/>
    <col min="5" max="5" width="20.7109375" style="49" customWidth="1"/>
    <col min="6" max="11" width="19.42578125" style="49" customWidth="1"/>
    <col min="12" max="12" width="25.5703125" style="49" customWidth="1"/>
    <col min="13" max="13" width="20.7109375" style="49" customWidth="1"/>
    <col min="14" max="14" width="19.42578125" style="49" customWidth="1"/>
    <col min="15" max="16384" width="11.42578125" style="49"/>
  </cols>
  <sheetData>
    <row r="1" spans="1:13" s="47" customFormat="1" ht="32.25" customHeight="1" x14ac:dyDescent="0.35">
      <c r="A1" s="46" t="s">
        <v>42</v>
      </c>
    </row>
    <row r="2" spans="1:13" s="83" customFormat="1" x14ac:dyDescent="0.2"/>
    <row r="3" spans="1:13" s="83" customFormat="1" ht="15" x14ac:dyDescent="0.25">
      <c r="A3" s="48" t="s">
        <v>74</v>
      </c>
      <c r="B3" s="85" t="s">
        <v>94</v>
      </c>
      <c r="E3" s="84"/>
    </row>
    <row r="4" spans="1:13" s="83" customFormat="1" ht="15" thickBot="1" x14ac:dyDescent="0.25">
      <c r="K4" s="154" t="s">
        <v>92</v>
      </c>
    </row>
    <row r="5" spans="1:13" s="83" customFormat="1" ht="15.6" customHeight="1" x14ac:dyDescent="0.2">
      <c r="B5" s="109">
        <v>45473</v>
      </c>
      <c r="C5" s="228" t="s">
        <v>43</v>
      </c>
      <c r="D5" s="228" t="s">
        <v>45</v>
      </c>
      <c r="E5" s="230" t="s">
        <v>58</v>
      </c>
      <c r="F5" s="220" t="s">
        <v>44</v>
      </c>
      <c r="G5" s="221"/>
      <c r="H5" s="213" t="s">
        <v>72</v>
      </c>
      <c r="I5" s="213" t="s">
        <v>85</v>
      </c>
      <c r="J5" s="213" t="s">
        <v>86</v>
      </c>
      <c r="K5" s="213" t="s">
        <v>87</v>
      </c>
      <c r="L5" s="213" t="s">
        <v>84</v>
      </c>
      <c r="M5" s="237" t="s">
        <v>77</v>
      </c>
    </row>
    <row r="6" spans="1:13" s="83" customFormat="1" ht="40.9" customHeight="1" x14ac:dyDescent="0.2">
      <c r="B6" s="110"/>
      <c r="C6" s="229"/>
      <c r="D6" s="229"/>
      <c r="E6" s="231"/>
      <c r="F6" s="50" t="s">
        <v>32</v>
      </c>
      <c r="G6" s="99" t="s">
        <v>33</v>
      </c>
      <c r="H6" s="214"/>
      <c r="I6" s="222"/>
      <c r="J6" s="214"/>
      <c r="K6" s="214"/>
      <c r="L6" s="214"/>
      <c r="M6" s="238"/>
    </row>
    <row r="7" spans="1:13" s="83" customFormat="1" ht="18.75" customHeight="1" x14ac:dyDescent="0.2">
      <c r="B7" s="111" t="s">
        <v>5</v>
      </c>
      <c r="C7" s="34">
        <f>Vermögen!B70</f>
        <v>13682781.25006252</v>
      </c>
      <c r="D7" s="33">
        <f>C7/$C$16</f>
        <v>1.1462507746735569E-2</v>
      </c>
      <c r="E7" s="33">
        <f>Strategie!B4</f>
        <v>0.02</v>
      </c>
      <c r="F7" s="33">
        <f>Strategie!C4</f>
        <v>0.01</v>
      </c>
      <c r="G7" s="33">
        <f>Strategie!D4</f>
        <v>0.03</v>
      </c>
      <c r="H7" s="96">
        <v>1</v>
      </c>
      <c r="I7" s="159">
        <f>H7*M16</f>
        <v>990000000</v>
      </c>
      <c r="J7" s="159">
        <f>IF(C7&gt;I7,C7-I7,0)</f>
        <v>0</v>
      </c>
      <c r="K7" s="159">
        <f>IF(J7=0,C7,I7)</f>
        <v>13682781.25006252</v>
      </c>
      <c r="L7" s="57"/>
      <c r="M7" s="112"/>
    </row>
    <row r="8" spans="1:13" s="83" customFormat="1" ht="18.75" customHeight="1" x14ac:dyDescent="0.2">
      <c r="B8" s="111" t="s">
        <v>6</v>
      </c>
      <c r="C8" s="35">
        <f>Vermögen!C70</f>
        <v>184645982.8733179</v>
      </c>
      <c r="D8" s="33">
        <f t="shared" ref="D8:D16" si="0">C8/$C$16</f>
        <v>0.15468390310481206</v>
      </c>
      <c r="E8" s="33">
        <f>Strategie!B5</f>
        <v>0.2</v>
      </c>
      <c r="F8" s="33">
        <f>Strategie!C5</f>
        <v>0.17</v>
      </c>
      <c r="G8" s="33">
        <f>Strategie!D5</f>
        <v>0.23</v>
      </c>
      <c r="H8" s="223">
        <v>1</v>
      </c>
      <c r="I8" s="215">
        <f>M16*H8</f>
        <v>990000000</v>
      </c>
      <c r="J8" s="215">
        <f>IF(SUM(C8:C9)&gt;I8,SUM(C8:C9)-I8,0)</f>
        <v>0</v>
      </c>
      <c r="K8" s="215">
        <f>IF(SUM(J8)=0,SUM(C8:C9),I8)</f>
        <v>280390152.01074088</v>
      </c>
      <c r="L8" s="242"/>
      <c r="M8" s="239"/>
    </row>
    <row r="9" spans="1:13" s="83" customFormat="1" ht="18.75" customHeight="1" x14ac:dyDescent="0.2">
      <c r="B9" s="111" t="s">
        <v>7</v>
      </c>
      <c r="C9" s="34">
        <f>Vermögen!D70</f>
        <v>95744169.137423009</v>
      </c>
      <c r="D9" s="33">
        <f t="shared" si="0"/>
        <v>8.0207982601304642E-2</v>
      </c>
      <c r="E9" s="33">
        <f>Strategie!B6</f>
        <v>0.1</v>
      </c>
      <c r="F9" s="33">
        <f>Strategie!C6</f>
        <v>7.0000000000000007E-2</v>
      </c>
      <c r="G9" s="33">
        <f>Strategie!D6</f>
        <v>0.13</v>
      </c>
      <c r="H9" s="224"/>
      <c r="I9" s="216"/>
      <c r="J9" s="216"/>
      <c r="K9" s="216"/>
      <c r="L9" s="243"/>
      <c r="M9" s="240"/>
    </row>
    <row r="10" spans="1:13" s="83" customFormat="1" ht="18.75" customHeight="1" x14ac:dyDescent="0.2">
      <c r="B10" s="111" t="s">
        <v>8</v>
      </c>
      <c r="C10" s="35">
        <f>Vermögen!E70</f>
        <v>202900690.63659889</v>
      </c>
      <c r="D10" s="33">
        <f t="shared" si="0"/>
        <v>0.16997646134475658</v>
      </c>
      <c r="E10" s="33">
        <f>Strategie!B7</f>
        <v>0.12</v>
      </c>
      <c r="F10" s="33">
        <f>Strategie!C7</f>
        <v>0.08</v>
      </c>
      <c r="G10" s="33">
        <f>Strategie!D7</f>
        <v>0.16</v>
      </c>
      <c r="H10" s="225">
        <v>0.25</v>
      </c>
      <c r="I10" s="217">
        <f>M16*H10</f>
        <v>247500000</v>
      </c>
      <c r="J10" s="217">
        <f>IF(SUM(C10:C12)&gt;I10,SUM(C10:C12)-I10,0)</f>
        <v>325974551.63067436</v>
      </c>
      <c r="K10" s="217">
        <f>SUM(C10:C12)-J10</f>
        <v>247500000</v>
      </c>
      <c r="L10" s="244"/>
      <c r="M10" s="241"/>
    </row>
    <row r="11" spans="1:13" s="83" customFormat="1" ht="18.75" customHeight="1" x14ac:dyDescent="0.2">
      <c r="B11" s="111" t="s">
        <v>9</v>
      </c>
      <c r="C11" s="34">
        <f>Vermögen!F70</f>
        <v>257036287.58807641</v>
      </c>
      <c r="D11" s="33">
        <f t="shared" si="0"/>
        <v>0.21532759925230957</v>
      </c>
      <c r="E11" s="33">
        <f>Strategie!B8</f>
        <v>0.16</v>
      </c>
      <c r="F11" s="33">
        <f>Strategie!C8</f>
        <v>0.12</v>
      </c>
      <c r="G11" s="33">
        <f>Strategie!D8</f>
        <v>0.2</v>
      </c>
      <c r="H11" s="226"/>
      <c r="I11" s="218"/>
      <c r="J11" s="218"/>
      <c r="K11" s="218"/>
      <c r="L11" s="242"/>
      <c r="M11" s="239"/>
    </row>
    <row r="12" spans="1:13" s="83" customFormat="1" ht="18.75" customHeight="1" x14ac:dyDescent="0.2">
      <c r="B12" s="111" t="s">
        <v>49</v>
      </c>
      <c r="C12" s="35">
        <f>Vermögen!G70</f>
        <v>113537573.40599911</v>
      </c>
      <c r="D12" s="33">
        <f t="shared" si="0"/>
        <v>9.5114092005664175E-2</v>
      </c>
      <c r="E12" s="33">
        <f>Strategie!B9</f>
        <v>0.12</v>
      </c>
      <c r="F12" s="33">
        <f>Strategie!C9</f>
        <v>0.08</v>
      </c>
      <c r="G12" s="33">
        <f>Strategie!D9</f>
        <v>0.16</v>
      </c>
      <c r="H12" s="227"/>
      <c r="I12" s="219"/>
      <c r="J12" s="219"/>
      <c r="K12" s="219"/>
      <c r="L12" s="243"/>
      <c r="M12" s="240"/>
    </row>
    <row r="13" spans="1:13" s="83" customFormat="1" ht="18.75" customHeight="1" x14ac:dyDescent="0.2">
      <c r="B13" s="111" t="s">
        <v>53</v>
      </c>
      <c r="C13" s="34">
        <f>Vermögen!H70</f>
        <v>116712048.20747623</v>
      </c>
      <c r="D13" s="33">
        <f t="shared" si="0"/>
        <v>9.7773452068413272E-2</v>
      </c>
      <c r="E13" s="33">
        <f>Strategie!B10</f>
        <v>0.08</v>
      </c>
      <c r="F13" s="33">
        <f>Strategie!C10</f>
        <v>0.06</v>
      </c>
      <c r="G13" s="33">
        <f>Strategie!D10</f>
        <v>0.1</v>
      </c>
      <c r="H13" s="97">
        <v>0</v>
      </c>
      <c r="I13" s="161">
        <f>M16*H13</f>
        <v>0</v>
      </c>
      <c r="J13" s="161">
        <f>IF(C13&gt;I13,C13-I13,0)</f>
        <v>116712048.20747623</v>
      </c>
      <c r="K13" s="161">
        <f>IF(J13=0,C13,I13)</f>
        <v>0</v>
      </c>
      <c r="L13" s="244"/>
      <c r="M13" s="241"/>
    </row>
    <row r="14" spans="1:13" s="83" customFormat="1" ht="18.75" customHeight="1" x14ac:dyDescent="0.2">
      <c r="B14" s="111" t="s">
        <v>54</v>
      </c>
      <c r="C14" s="35">
        <f>Vermögen!I70</f>
        <v>169276188.10168269</v>
      </c>
      <c r="D14" s="33">
        <f t="shared" si="0"/>
        <v>0.14180812964795003</v>
      </c>
      <c r="E14" s="33">
        <f>Strategie!B11</f>
        <v>0.16</v>
      </c>
      <c r="F14" s="33">
        <f>Strategie!C11</f>
        <v>0.13</v>
      </c>
      <c r="G14" s="33">
        <f>Strategie!D11</f>
        <v>0.19</v>
      </c>
      <c r="H14" s="104">
        <v>0.2</v>
      </c>
      <c r="I14" s="160">
        <f>M16*H14</f>
        <v>198000000</v>
      </c>
      <c r="J14" s="160">
        <f>IF(C14&gt;I14,C14-I14,0)</f>
        <v>0</v>
      </c>
      <c r="K14" s="161">
        <f>IF(J14=0,C14,I14)</f>
        <v>169276188.10168269</v>
      </c>
      <c r="L14" s="57"/>
      <c r="M14" s="112"/>
    </row>
    <row r="15" spans="1:13" s="83" customFormat="1" ht="18.75" customHeight="1" x14ac:dyDescent="0.2">
      <c r="B15" s="107" t="s">
        <v>89</v>
      </c>
      <c r="C15" s="34">
        <f>Vermögen!J70</f>
        <v>40163035.858808994</v>
      </c>
      <c r="D15" s="33">
        <f t="shared" si="0"/>
        <v>3.3645872228054007E-2</v>
      </c>
      <c r="E15" s="33">
        <f>Strategie!B12</f>
        <v>0.04</v>
      </c>
      <c r="F15" s="33">
        <f>Strategie!C12</f>
        <v>0.02</v>
      </c>
      <c r="G15" s="33">
        <f>Strategie!D12</f>
        <v>0.06</v>
      </c>
      <c r="H15" s="103">
        <v>0.05</v>
      </c>
      <c r="I15" s="162">
        <f>M16*H15</f>
        <v>49500000</v>
      </c>
      <c r="J15" s="160">
        <f>IF(C15&gt;I15,C15-I15,0)</f>
        <v>0</v>
      </c>
      <c r="K15" s="161">
        <f>IF(J15=0,C15,I15)</f>
        <v>40163035.858808994</v>
      </c>
      <c r="L15" s="106"/>
      <c r="M15" s="108"/>
    </row>
    <row r="16" spans="1:13" s="83" customFormat="1" ht="18.75" customHeight="1" x14ac:dyDescent="0.2">
      <c r="B16" s="113" t="s">
        <v>10</v>
      </c>
      <c r="C16" s="55">
        <f>SUM(C7:C15)</f>
        <v>1193698757.0594459</v>
      </c>
      <c r="D16" s="33">
        <f t="shared" si="0"/>
        <v>1</v>
      </c>
      <c r="E16" s="33">
        <f>Strategie!B13</f>
        <v>1</v>
      </c>
      <c r="F16" s="31"/>
      <c r="G16" s="100"/>
      <c r="H16" s="98"/>
      <c r="I16" s="56"/>
      <c r="J16" s="56"/>
      <c r="K16" s="161">
        <f>SUM(K7:K15)</f>
        <v>751012157.22129512</v>
      </c>
      <c r="L16" s="58">
        <f>K16-J17</f>
        <v>718762535.6078198</v>
      </c>
      <c r="M16" s="167">
        <v>990000000</v>
      </c>
    </row>
    <row r="17" spans="1:13" s="83" customFormat="1" ht="18.75" customHeight="1" thickBot="1" x14ac:dyDescent="0.25">
      <c r="B17" s="114" t="s">
        <v>73</v>
      </c>
      <c r="C17" s="115">
        <f>C7*Strategie!L4+Lösungsraster!C8*Strategie!L5+Lösungsraster!C9*Strategie!L6+Lösungsraster!C10*Strategie!L7+Lösungsraster!C11*Strategie!L8+Lösungsraster!C12*Strategie!L9+Lösungsraster!C13*Strategie!L10+Lösungsraster!C14*Strategie!L11+Lösungsraster!C15*Strategie!L12</f>
        <v>230249621.61347532</v>
      </c>
      <c r="D17" s="116">
        <f>C17/C16</f>
        <v>0.19288754407407743</v>
      </c>
      <c r="E17" s="117"/>
      <c r="F17" s="117"/>
      <c r="G17" s="118"/>
      <c r="H17" s="119">
        <v>0.2</v>
      </c>
      <c r="I17" s="163">
        <f>M16*H17</f>
        <v>198000000</v>
      </c>
      <c r="J17" s="158">
        <f>IF(C17&gt;I17,C17-I17,0)</f>
        <v>32249621.613475323</v>
      </c>
      <c r="K17" s="163">
        <f>I17+J17</f>
        <v>230249621.61347532</v>
      </c>
      <c r="L17" s="120"/>
      <c r="M17" s="121"/>
    </row>
    <row r="18" spans="1:13" s="83" customFormat="1" x14ac:dyDescent="0.2"/>
    <row r="19" spans="1:13" s="83" customFormat="1" x14ac:dyDescent="0.2">
      <c r="A19" s="48" t="s">
        <v>26</v>
      </c>
      <c r="B19" s="85" t="s">
        <v>78</v>
      </c>
    </row>
    <row r="20" spans="1:13" s="83" customFormat="1" ht="15" thickBot="1" x14ac:dyDescent="0.25">
      <c r="B20" s="85"/>
    </row>
    <row r="21" spans="1:13" s="83" customFormat="1" ht="15" customHeight="1" x14ac:dyDescent="0.2">
      <c r="B21" s="126" t="s">
        <v>95</v>
      </c>
      <c r="C21" s="228" t="s">
        <v>47</v>
      </c>
      <c r="D21" s="234" t="s">
        <v>46</v>
      </c>
      <c r="E21" s="87"/>
      <c r="F21" s="87"/>
      <c r="G21" s="87"/>
      <c r="H21" s="87"/>
      <c r="I21" s="87"/>
      <c r="J21" s="87"/>
      <c r="K21" s="88"/>
    </row>
    <row r="22" spans="1:13" s="83" customFormat="1" ht="28.5" customHeight="1" x14ac:dyDescent="0.2">
      <c r="B22" s="127"/>
      <c r="C22" s="229"/>
      <c r="D22" s="235"/>
      <c r="E22" s="87"/>
      <c r="F22" s="87"/>
      <c r="G22" s="87"/>
      <c r="H22" s="87"/>
      <c r="I22" s="87"/>
      <c r="J22" s="87"/>
      <c r="K22" s="88"/>
    </row>
    <row r="23" spans="1:13" s="83" customFormat="1" ht="18.75" customHeight="1" x14ac:dyDescent="0.2">
      <c r="B23" s="128" t="s">
        <v>5</v>
      </c>
      <c r="C23" s="32" cm="1">
        <f t="array" ref="C23">PRODUCT(1+Renditen!B4:B69)^(12/COUNT(Renditen!B4:B69))-1</f>
        <v>-1.7445603190833991E-2</v>
      </c>
      <c r="D23" s="129" cm="1">
        <f t="array" ref="D23">PRODUCT(1+Renditen!M4:M69)^(12/COUNT(Renditen!M4:M69))-1</f>
        <v>-1.2582085766332796E-3</v>
      </c>
      <c r="E23" s="89"/>
      <c r="G23" s="87"/>
      <c r="H23" s="90"/>
      <c r="I23" s="90"/>
      <c r="J23" s="90"/>
      <c r="K23" s="90"/>
    </row>
    <row r="24" spans="1:13" s="83" customFormat="1" ht="18.75" customHeight="1" x14ac:dyDescent="0.2">
      <c r="B24" s="128" t="s">
        <v>6</v>
      </c>
      <c r="C24" s="32" cm="1">
        <f t="array" ref="C24">PRODUCT(1+Renditen!C4:C69)^(12/COUNT(Renditen!C4:C69))-1</f>
        <v>-3.7540122674162291E-4</v>
      </c>
      <c r="D24" s="129" cm="1">
        <f t="array" ref="D24">PRODUCT(1+Renditen!N4:N69)^(12/COUNT(Renditen!N4:N69))-1</f>
        <v>-7.26152444097794E-4</v>
      </c>
      <c r="E24" s="89"/>
      <c r="G24" s="87"/>
      <c r="H24" s="90"/>
      <c r="I24" s="90"/>
      <c r="J24" s="90"/>
      <c r="K24" s="90"/>
    </row>
    <row r="25" spans="1:13" s="83" customFormat="1" ht="18.75" customHeight="1" x14ac:dyDescent="0.2">
      <c r="B25" s="128" t="s">
        <v>7</v>
      </c>
      <c r="C25" s="32" cm="1">
        <f t="array" ref="C25">PRODUCT(1+Renditen!D4:D69)^(12/COUNT(Renditen!D4:D69))-1</f>
        <v>4.7505912189769184E-3</v>
      </c>
      <c r="D25" s="129" cm="1">
        <f t="array" ref="D25">PRODUCT(1+Renditen!O4:O69)^(12/COUNT(Renditen!O4:O69))-1</f>
        <v>-1.5684013846299028E-2</v>
      </c>
      <c r="E25" s="89"/>
      <c r="G25" s="87"/>
      <c r="H25" s="90"/>
      <c r="I25" s="90"/>
      <c r="J25" s="90"/>
      <c r="K25" s="90"/>
    </row>
    <row r="26" spans="1:13" s="83" customFormat="1" ht="18.75" customHeight="1" x14ac:dyDescent="0.2">
      <c r="B26" s="128" t="s">
        <v>8</v>
      </c>
      <c r="C26" s="32" cm="1">
        <f t="array" ref="C26">PRODUCT(1+Renditen!E4:E69)^(12/COUNT(Renditen!E4:E69))-1</f>
        <v>7.0229313233986401E-2</v>
      </c>
      <c r="D26" s="129" cm="1">
        <f t="array" ref="D26">PRODUCT(1+Renditen!P4:P69)^(12/COUNT(Renditen!P4:P69))-1</f>
        <v>7.0338236730779657E-2</v>
      </c>
      <c r="E26" s="89"/>
      <c r="G26" s="87"/>
      <c r="H26" s="90"/>
      <c r="I26" s="90"/>
      <c r="J26" s="90"/>
      <c r="K26" s="90"/>
    </row>
    <row r="27" spans="1:13" s="83" customFormat="1" ht="18.75" customHeight="1" x14ac:dyDescent="0.2">
      <c r="B27" s="128" t="s">
        <v>9</v>
      </c>
      <c r="C27" s="32" cm="1">
        <f t="array" ref="C27">PRODUCT(1+Renditen!F4:F69)^(12/COUNT(Renditen!F4:F69))-1</f>
        <v>0.10662617179281253</v>
      </c>
      <c r="D27" s="129" cm="1">
        <f t="array" ref="D27">PRODUCT(1+Renditen!Q4:Q69)^(12/COUNT(Renditen!Q4:Q69))-1</f>
        <v>0.10588430577591912</v>
      </c>
      <c r="E27" s="89"/>
      <c r="G27" s="87"/>
      <c r="H27" s="90"/>
      <c r="I27" s="90"/>
      <c r="J27" s="90"/>
      <c r="K27" s="90"/>
    </row>
    <row r="28" spans="1:13" s="83" customFormat="1" ht="18.75" customHeight="1" x14ac:dyDescent="0.2">
      <c r="B28" s="128" t="s">
        <v>49</v>
      </c>
      <c r="C28" s="32" cm="1">
        <f t="array" ref="C28">PRODUCT(1+Renditen!G4:G69)^(12/COUNT(Renditen!G4:G69))-1</f>
        <v>-1.7557938146505192E-3</v>
      </c>
      <c r="D28" s="129" cm="1">
        <f t="array" ref="D28">PRODUCT(1+Renditen!R4:R69)^(12/COUNT(Renditen!R4:R69))-1</f>
        <v>1.4126170442769759E-3</v>
      </c>
      <c r="E28" s="89"/>
      <c r="G28" s="87"/>
      <c r="H28" s="90"/>
      <c r="I28" s="90"/>
      <c r="J28" s="90"/>
      <c r="K28" s="90"/>
    </row>
    <row r="29" spans="1:13" s="83" customFormat="1" ht="18.75" customHeight="1" x14ac:dyDescent="0.2">
      <c r="B29" s="128" t="s">
        <v>53</v>
      </c>
      <c r="C29" s="32" cm="1">
        <f t="array" ref="C29">PRODUCT(1+Renditen!H4:H69)^(12/COUNT(Renditen!H4:H69))-1</f>
        <v>6.8303713909865893E-2</v>
      </c>
      <c r="D29" s="129" cm="1">
        <f t="array" ref="D29">PRODUCT(1+Renditen!S4:S69)^(12/COUNT(Renditen!S4:S69))-1</f>
        <v>0.16713355869879742</v>
      </c>
      <c r="E29" s="89"/>
      <c r="G29" s="87"/>
      <c r="H29" s="90"/>
      <c r="I29" s="90"/>
      <c r="J29" s="90"/>
      <c r="K29" s="90"/>
    </row>
    <row r="30" spans="1:13" s="83" customFormat="1" ht="18.75" customHeight="1" x14ac:dyDescent="0.2">
      <c r="B30" s="122" t="s">
        <v>54</v>
      </c>
      <c r="C30" s="32" cm="1">
        <f t="array" ref="C30">PRODUCT(1+Renditen!I4:I69)^(12/COUNT(Renditen!I4:I69))-1</f>
        <v>5.2402823149783728E-2</v>
      </c>
      <c r="D30" s="129" cm="1">
        <f t="array" ref="D30">PRODUCT(1+Renditen!T4:T69)^(12/COUNT(Renditen!T4:T69))-1</f>
        <v>4.2710876499963746E-2</v>
      </c>
      <c r="E30" s="89"/>
      <c r="G30" s="87"/>
      <c r="H30" s="90"/>
      <c r="I30" s="90"/>
      <c r="J30" s="90"/>
      <c r="K30" s="90"/>
    </row>
    <row r="31" spans="1:13" s="83" customFormat="1" ht="18.75" customHeight="1" thickBot="1" x14ac:dyDescent="0.25">
      <c r="B31" s="124" t="s">
        <v>89</v>
      </c>
      <c r="C31" s="32" cm="1">
        <f t="array" ref="C31">PRODUCT(1+Renditen!J4:J69)^(12/COUNT(Renditen!J4:J69))-1</f>
        <v>2.0656015814241702E-2</v>
      </c>
      <c r="D31" s="129" cm="1">
        <f t="array" ref="D31">PRODUCT(1+Renditen!U4:U69)^(12/COUNT(Renditen!U4:U69))-1</f>
        <v>2.9268135746989721E-2</v>
      </c>
      <c r="E31" s="89"/>
      <c r="G31" s="87"/>
      <c r="H31" s="90"/>
      <c r="I31" s="90"/>
      <c r="J31" s="90"/>
      <c r="K31" s="90"/>
    </row>
    <row r="32" spans="1:13" s="83" customFormat="1" x14ac:dyDescent="0.2"/>
    <row r="33" spans="1:7" s="83" customFormat="1" x14ac:dyDescent="0.2">
      <c r="A33" s="48" t="s">
        <v>27</v>
      </c>
      <c r="B33" s="85" t="s">
        <v>79</v>
      </c>
    </row>
    <row r="34" spans="1:7" s="83" customFormat="1" ht="15" thickBot="1" x14ac:dyDescent="0.25"/>
    <row r="35" spans="1:7" s="83" customFormat="1" ht="15" customHeight="1" x14ac:dyDescent="0.2">
      <c r="B35" s="130" t="str">
        <f>B21</f>
        <v>01.01.2019-30.06.2024</v>
      </c>
      <c r="C35" s="228" t="s">
        <v>38</v>
      </c>
      <c r="D35" s="234" t="s">
        <v>34</v>
      </c>
      <c r="E35" s="236"/>
    </row>
    <row r="36" spans="1:7" s="83" customFormat="1" x14ac:dyDescent="0.2">
      <c r="B36" s="110"/>
      <c r="C36" s="229"/>
      <c r="D36" s="235"/>
      <c r="E36" s="236"/>
    </row>
    <row r="37" spans="1:7" s="83" customFormat="1" ht="18.75" customHeight="1" thickBot="1" x14ac:dyDescent="0.25">
      <c r="B37" s="132" t="s">
        <v>31</v>
      </c>
      <c r="C37" s="149">
        <f>((1+Gesamtvermögen!V71)^(12/COUNT(Renditen!A4:A69))-1)</f>
        <v>4.3829129043935655E-2</v>
      </c>
      <c r="D37" s="149">
        <f>(1+Gesamtvermögen!AG71)^(12/COUNT(Renditen!L4:L69))-1</f>
        <v>4.885548326422251E-2</v>
      </c>
      <c r="E37" s="90"/>
    </row>
    <row r="38" spans="1:7" s="83" customFormat="1" x14ac:dyDescent="0.2"/>
    <row r="39" spans="1:7" s="83" customFormat="1" x14ac:dyDescent="0.2">
      <c r="A39" s="48" t="s">
        <v>28</v>
      </c>
      <c r="B39" s="85" t="s">
        <v>48</v>
      </c>
    </row>
    <row r="40" spans="1:7" s="83" customFormat="1" ht="15" thickBot="1" x14ac:dyDescent="0.25"/>
    <row r="41" spans="1:7" s="83" customFormat="1" ht="28.5" customHeight="1" x14ac:dyDescent="0.2">
      <c r="B41" s="130" t="str">
        <f>Lösungsraster!B21</f>
        <v>01.01.2019-30.06.2024</v>
      </c>
      <c r="C41" s="151" t="s">
        <v>82</v>
      </c>
      <c r="D41" s="152" t="s">
        <v>35</v>
      </c>
      <c r="E41" s="151" t="s">
        <v>37</v>
      </c>
      <c r="F41" s="151" t="s">
        <v>36</v>
      </c>
      <c r="G41" s="153" t="s">
        <v>93</v>
      </c>
    </row>
    <row r="42" spans="1:7" s="83" customFormat="1" ht="18.75" customHeight="1" x14ac:dyDescent="0.2">
      <c r="B42" s="155" t="s">
        <v>5</v>
      </c>
      <c r="C42" s="32">
        <f>_xlfn.COVARIANCE.S(Renditen!B4:B69,Renditen!M4:M69)/_xlfn.VAR.S(Renditen!M4:M69)</f>
        <v>0.44671611528714911</v>
      </c>
      <c r="D42" s="32">
        <f>_xlfn.STDEV.S(Renditen!B4:B69)*SQRT(12)</f>
        <v>7.8428717498508424E-3</v>
      </c>
      <c r="E42" s="32">
        <f>C23-(Gesamtvermögen!$A$75+Lösungsraster!C42*(Lösungsraster!D23-Gesamtvermögen!$A$75))</f>
        <v>-1.6798451600046959E-2</v>
      </c>
      <c r="F42" s="32" cm="1">
        <f t="array" ref="F42">_xlfn.STDEV.S(Renditen!B4:B69-Renditen!M4:M69)*SQRT(12)</f>
        <v>7.9007899172539083E-3</v>
      </c>
      <c r="G42" s="129">
        <f>(C23-Gesamtvermögen!$A$75)/Lösungsraster!C42</f>
        <v>-3.870872926391436E-2</v>
      </c>
    </row>
    <row r="43" spans="1:7" s="83" customFormat="1" ht="18.75" customHeight="1" x14ac:dyDescent="0.2">
      <c r="B43" s="155" t="s">
        <v>6</v>
      </c>
      <c r="C43" s="36">
        <f>_xlfn.COVARIANCE.S(Renditen!C4:C69,Renditen!N4:N69)/_xlfn.VAR.S(Renditen!N4:N69)</f>
        <v>1.5257546546180298</v>
      </c>
      <c r="D43" s="32">
        <f>_xlfn.STDEV.S(Renditen!C4:C69)*SQRT(12)</f>
        <v>5.4174991843642585E-2</v>
      </c>
      <c r="E43" s="32">
        <f>C24-(Gesamtvermögen!$A$75+Lösungsraster!C43*(Lösungsraster!D24-Gesamtvermögen!$A$75))</f>
        <v>6.5167342261225288E-4</v>
      </c>
      <c r="F43" s="36" cm="1">
        <f t="array" ref="F43">_xlfn.STDEV.S(Renditen!C4:C69-Renditen!N4:N69)*SQRT(12)</f>
        <v>2.3303590480988609E-2</v>
      </c>
      <c r="G43" s="129">
        <f>(C24-Gesamtvermögen!$A$75)/Lösungsraster!C43</f>
        <v>-1.4524694367779655E-4</v>
      </c>
    </row>
    <row r="44" spans="1:7" s="83" customFormat="1" ht="18.75" customHeight="1" x14ac:dyDescent="0.2">
      <c r="B44" s="155" t="s">
        <v>7</v>
      </c>
      <c r="C44" s="37">
        <f>_xlfn.COVARIANCE.S(Renditen!D4:D69,Renditen!O4:O69)/_xlfn.VAR.S(Renditen!O4:O69)</f>
        <v>1.1389407572605621</v>
      </c>
      <c r="D44" s="32">
        <f>_xlfn.STDEV.S(Renditen!D4:D69)*SQRT(12)</f>
        <v>0.10853165000929006</v>
      </c>
      <c r="E44" s="32">
        <f>C25-(Gesamtvermögen!$A$75+Lösungsraster!C44*(Lösungsraster!D25-Gesamtvermögen!$A$75))</f>
        <v>2.2592386123244823E-2</v>
      </c>
      <c r="F44" s="37" cm="1">
        <f t="array" ref="F44">_xlfn.STDEV.S(Renditen!D4:D69-Renditen!O4:O69)*SQRT(12)</f>
        <v>9.0668542796602289E-2</v>
      </c>
      <c r="G44" s="129">
        <f>(C25-Gesamtvermögen!$A$75)/Lösungsraster!C44</f>
        <v>4.3060898594316412E-3</v>
      </c>
    </row>
    <row r="45" spans="1:7" s="83" customFormat="1" ht="18.75" customHeight="1" x14ac:dyDescent="0.2">
      <c r="B45" s="155" t="s">
        <v>8</v>
      </c>
      <c r="C45" s="36">
        <f>_xlfn.COVARIANCE.S(Renditen!E4:E69,Renditen!P4:P69)/_xlfn.VAR.S(Renditen!P4:P69)</f>
        <v>0.99917623720449611</v>
      </c>
      <c r="D45" s="32">
        <f>_xlfn.STDEV.S(Renditen!E4:E69)*SQRT(12)</f>
        <v>0.12831102956368287</v>
      </c>
      <c r="E45" s="32">
        <f>C26-(Gesamtvermögen!$A$75+Lösungsraster!C45*(Lösungsraster!D26-Gesamtvermögen!$A$75))</f>
        <v>-5.0854787771059673E-5</v>
      </c>
      <c r="F45" s="36" cm="1">
        <f t="array" ref="F45">_xlfn.STDEV.S(Renditen!E4:E69-Renditen!P4:P69)*SQRT(12)</f>
        <v>5.1920615475085962E-4</v>
      </c>
      <c r="G45" s="129">
        <f>(C26-Gesamtvermögen!$A$75)/Lösungsraster!C45</f>
        <v>7.0441130042544889E-2</v>
      </c>
    </row>
    <row r="46" spans="1:7" s="83" customFormat="1" ht="18.75" customHeight="1" x14ac:dyDescent="0.2">
      <c r="B46" s="155" t="s">
        <v>9</v>
      </c>
      <c r="C46" s="37">
        <f>_xlfn.COVARIANCE.S(Renditen!F4:F69,Renditen!Q4:Q69)/_xlfn.VAR.S(Renditen!Q4:Q69)</f>
        <v>1.0001047628458506</v>
      </c>
      <c r="D46" s="32">
        <f>_xlfn.STDEV.S(Renditen!F4:F69)*SQRT(12)</f>
        <v>0.16911507936884304</v>
      </c>
      <c r="E46" s="32">
        <f>C27-(Gesamtvermögen!$A$75+Lösungsraster!C46*(Lösungsraster!D27-Gesamtvermögen!$A$75))</f>
        <v>7.3075716420858972E-4</v>
      </c>
      <c r="F46" s="37" cm="1">
        <f t="array" ref="F46">_xlfn.STDEV.S(Renditen!F4:F69-Renditen!Q4:Q69)*SQRT(12)</f>
        <v>8.8463526480276548E-4</v>
      </c>
      <c r="G46" s="129">
        <f>(C27-Gesamtvermögen!$A$75)/Lösungsraster!C46</f>
        <v>0.10676877641830314</v>
      </c>
    </row>
    <row r="47" spans="1:7" s="83" customFormat="1" ht="18.75" customHeight="1" x14ac:dyDescent="0.2">
      <c r="B47" s="155" t="s">
        <v>49</v>
      </c>
      <c r="C47" s="36">
        <f>_xlfn.COVARIANCE.S(Renditen!G4:G69,Renditen!R4:R69)/_xlfn.VAR.S(Renditen!R4:R69)</f>
        <v>0.99787045637349536</v>
      </c>
      <c r="D47" s="32">
        <f>_xlfn.STDEV.S(Renditen!G4:G69)*SQRT(12)</f>
        <v>0.16120905560293936</v>
      </c>
      <c r="E47" s="32">
        <f>C28-(Gesamtvermögen!$A$75+Lösungsraster!C47*(Lösungsraster!D28-Gesamtvermögen!$A$75))</f>
        <v>-3.1650751267337162E-3</v>
      </c>
      <c r="F47" s="36" cm="1">
        <f t="array" ref="F47">_xlfn.STDEV.S(Renditen!G4:G69-Renditen!R4:R69)*SQRT(12)</f>
        <v>4.3831176157489897E-3</v>
      </c>
      <c r="G47" s="129">
        <f>(C28-Gesamtvermögen!$A$75)/Lösungsraster!C47</f>
        <v>-1.605422605772306E-3</v>
      </c>
    </row>
    <row r="48" spans="1:7" s="83" customFormat="1" ht="18.75" customHeight="1" x14ac:dyDescent="0.2">
      <c r="B48" s="155" t="s">
        <v>53</v>
      </c>
      <c r="C48" s="37">
        <f>_xlfn.COVARIANCE.S(Renditen!H4:H69,Renditen!S4:S69)/_xlfn.VAR.S(Renditen!S4:S69)</f>
        <v>-3.7578583809256376E-2</v>
      </c>
      <c r="D48" s="32">
        <f>_xlfn.STDEV.S(Renditen!H4:H69)*SQRT(12)</f>
        <v>0.1549190868016643</v>
      </c>
      <c r="E48" s="32">
        <f>C29-(Gesamtvermögen!$A$75+Lösungsraster!C48*(Lösungsraster!D29-Gesamtvermögen!$A$75))</f>
        <v>7.4743925590518553E-2</v>
      </c>
      <c r="F48" s="37" cm="1">
        <f t="array" ref="F48">_xlfn.STDEV.S(Renditen!H4:H69-Renditen!S4:S69)*SQRT(12)</f>
        <v>0.30993687256815788</v>
      </c>
      <c r="G48" s="129">
        <f>(C29-Gesamtvermögen!$A$75)/Lösungsraster!C48</f>
        <v>-1.8217159082870917</v>
      </c>
    </row>
    <row r="49" spans="1:11" s="83" customFormat="1" ht="18.75" customHeight="1" x14ac:dyDescent="0.2">
      <c r="B49" s="155" t="s">
        <v>54</v>
      </c>
      <c r="C49" s="36">
        <f>_xlfn.COVARIANCE.S(Renditen!I4:I69,Renditen!T4:T69)/_xlfn.VAR.S(Renditen!T4:T69)</f>
        <v>1.1453843869473548</v>
      </c>
      <c r="D49" s="32">
        <f>_xlfn.STDEV.S(Renditen!I4:I69)*SQRT(12)</f>
        <v>1.6710811976773477E-2</v>
      </c>
      <c r="E49" s="32">
        <f>C30-(Gesamtvermögen!$A$75+Lösungsraster!C49*(Lösungsraster!D30-Gesamtvermögen!$A$75))</f>
        <v>3.4600933851881635E-3</v>
      </c>
      <c r="F49" s="36" cm="1">
        <f t="array" ref="F49">_xlfn.STDEV.S(Renditen!I4:I69-Renditen!T4:T69)*SQRT(12)</f>
        <v>1.5060255226655456E-2</v>
      </c>
      <c r="G49" s="129">
        <f>(C30-Gesamtvermögen!$A$75)/Lösungsraster!C49</f>
        <v>4.5885568002382388E-2</v>
      </c>
    </row>
    <row r="50" spans="1:11" s="83" customFormat="1" ht="18.75" customHeight="1" x14ac:dyDescent="0.2">
      <c r="B50" s="155" t="s">
        <v>89</v>
      </c>
      <c r="C50" s="37">
        <f>_xlfn.COVARIANCE.S(Renditen!J4:J69,Renditen!U4:U69)/_xlfn.VAR.S(Renditen!U4:U69)</f>
        <v>0.13471259269670777</v>
      </c>
      <c r="D50" s="32">
        <f>_xlfn.STDEV.S(Renditen!J4:J69)*SQRT(12)</f>
        <v>7.1374385657816355E-2</v>
      </c>
      <c r="E50" s="32">
        <f>C31-(Gesamtvermögen!$A$75+Lösungsraster!C50*(Lösungsraster!D31-Gesamtvermögen!$A$75))</f>
        <v>1.6846301937540369E-2</v>
      </c>
      <c r="F50" s="37" cm="1">
        <f t="array" ref="F50">_xlfn.STDEV.S(Renditen!J4:J69-Renditen!U4:U69)*SQRT(12)</f>
        <v>0.18128267719927887</v>
      </c>
      <c r="G50" s="129">
        <f>(C31-Gesamtvermögen!$A$75)/Lösungsraster!C50</f>
        <v>0.15447557963232975</v>
      </c>
    </row>
    <row r="51" spans="1:11" s="83" customFormat="1" ht="18.75" customHeight="1" thickBot="1" x14ac:dyDescent="0.25">
      <c r="B51" s="156" t="s">
        <v>10</v>
      </c>
      <c r="C51" s="133">
        <f>_xlfn.COVARIANCE.S(Gesamtvermögen!U3:U68,Gesamtvermögen!AF3:AF68)/_xlfn.VAR.S(Gesamtvermögen!AF3:AF68)</f>
        <v>0.84122674430662858</v>
      </c>
      <c r="D51" s="133">
        <f>_xlfn.STDEV.S(Gesamtvermögen!U3:U68)*SQRT(12)</f>
        <v>7.5696403001524998E-2</v>
      </c>
      <c r="E51" s="133">
        <f>C37-(Gesamtvermögen!A75+Lösungsraster!C51*(Lösungsraster!D37-Gesamtvermögen!A75))</f>
        <v>2.7550076592245121E-3</v>
      </c>
      <c r="F51" s="133" cm="1">
        <f t="array" ref="F51">_xlfn.STDEV.S(Gesamtvermögen!U3:U68-Gesamtvermögen!AF3:AF68)*SQRT(12)</f>
        <v>2.0446123732722914E-2</v>
      </c>
      <c r="G51" s="133">
        <f>(C37-Gesamtvermögen!A75)/Lösungsraster!C51</f>
        <v>5.2284261488315199E-2</v>
      </c>
    </row>
    <row r="52" spans="1:11" s="83" customFormat="1" x14ac:dyDescent="0.2">
      <c r="J52" s="157"/>
    </row>
    <row r="53" spans="1:11" s="83" customFormat="1" x14ac:dyDescent="0.2">
      <c r="A53" s="48" t="s">
        <v>29</v>
      </c>
      <c r="B53" s="85" t="s">
        <v>39</v>
      </c>
    </row>
    <row r="54" spans="1:11" s="83" customFormat="1" x14ac:dyDescent="0.2">
      <c r="B54" s="92" t="s">
        <v>96</v>
      </c>
      <c r="C54" s="49"/>
      <c r="D54" s="49"/>
      <c r="F54" s="85"/>
    </row>
    <row r="55" spans="1:11" s="83" customFormat="1" ht="15" thickBot="1" x14ac:dyDescent="0.25"/>
    <row r="56" spans="1:11" s="83" customFormat="1" ht="14.25" customHeight="1" x14ac:dyDescent="0.2">
      <c r="B56" s="130" t="s">
        <v>98</v>
      </c>
      <c r="C56" s="232">
        <v>45292</v>
      </c>
      <c r="D56" s="143"/>
      <c r="E56" s="143"/>
      <c r="F56" s="144"/>
      <c r="G56" s="143"/>
      <c r="H56" s="143"/>
      <c r="I56" s="145"/>
      <c r="J56" s="101"/>
    </row>
    <row r="57" spans="1:11" s="83" customFormat="1" x14ac:dyDescent="0.2">
      <c r="B57" s="110" t="s">
        <v>59</v>
      </c>
      <c r="C57" s="233"/>
      <c r="D57" s="53">
        <f>EOMONTH(C56,1)</f>
        <v>45351</v>
      </c>
      <c r="E57" s="53">
        <f t="shared" ref="E57:H57" si="1">EOMONTH(D57,1)</f>
        <v>45382</v>
      </c>
      <c r="F57" s="53">
        <f t="shared" si="1"/>
        <v>45412</v>
      </c>
      <c r="G57" s="53">
        <f t="shared" si="1"/>
        <v>45443</v>
      </c>
      <c r="H57" s="53">
        <f t="shared" si="1"/>
        <v>45473</v>
      </c>
      <c r="I57" s="146" t="s">
        <v>97</v>
      </c>
      <c r="J57" s="102"/>
    </row>
    <row r="58" spans="1:11" s="83" customFormat="1" ht="18.75" customHeight="1" x14ac:dyDescent="0.2">
      <c r="B58" s="111" t="s">
        <v>5</v>
      </c>
      <c r="C58" s="186">
        <f>(Performance!B2-Strategie!$B$4)*(Performance!J2-Performance!J11)</f>
        <v>9.2893877958606999E-5</v>
      </c>
      <c r="D58" s="186">
        <f>(Performance!C2-Strategie!$B$4)*(Performance!K2-Performance!K11)</f>
        <v>-1.0075746827579825E-4</v>
      </c>
      <c r="E58" s="186">
        <f>(Performance!D2-Strategie!$B$4)*(Performance!L2-Performance!L11)</f>
        <v>-1.0236899141842E-4</v>
      </c>
      <c r="F58" s="186">
        <f>(Performance!E2-Strategie!$B$4)*(Performance!M2-Performance!M11)</f>
        <v>-2.0358827244938929E-4</v>
      </c>
      <c r="G58" s="186">
        <f>(Performance!F2-Strategie!$B$4)*(Performance!N2-Performance!N11)</f>
        <v>3.0890378316604451E-4</v>
      </c>
      <c r="H58" s="186">
        <f>(Performance!G2-Strategie!$B$4)*(Performance!O2-Performance!O11)</f>
        <v>1.668289972657692E-4</v>
      </c>
      <c r="I58" s="187">
        <f>SUM(C58:H58)</f>
        <v>1.6191192624681318E-4</v>
      </c>
      <c r="J58" s="89"/>
      <c r="K58" s="91"/>
    </row>
    <row r="59" spans="1:11" s="83" customFormat="1" ht="18.75" customHeight="1" x14ac:dyDescent="0.2">
      <c r="B59" s="111" t="s">
        <v>6</v>
      </c>
      <c r="C59" s="186">
        <f>(Performance!B3-Strategie!$B$5)*(Performance!J3-Performance!J11)</f>
        <v>4.0808974936844993E-4</v>
      </c>
      <c r="D59" s="186">
        <f>(Performance!C3-Strategie!$B$5)*(Performance!K3-Performance!K11)</f>
        <v>-7.7283091091257374E-4</v>
      </c>
      <c r="E59" s="186">
        <f>(Performance!D3-Strategie!$B$5)*(Performance!L3-Performance!L11)</f>
        <v>-4.1159648635473927E-4</v>
      </c>
      <c r="F59" s="186">
        <f>(Performance!E3-Strategie!$B$5)*(Performance!M3-Performance!M11)</f>
        <v>-1.443943969740794E-3</v>
      </c>
      <c r="G59" s="186">
        <f>(Performance!F3-Strategie!$B$5)*(Performance!N3-Performance!N11)</f>
        <v>1.3522761407972002E-3</v>
      </c>
      <c r="H59" s="186">
        <f>(Performance!G3-Strategie!$B$5)*(Performance!O3-Performance!O11)</f>
        <v>6.2838485216822353E-4</v>
      </c>
      <c r="I59" s="187">
        <f t="shared" ref="I59:I66" si="2">SUM(C59:H59)</f>
        <v>-2.3962062467423331E-4</v>
      </c>
      <c r="J59" s="89"/>
      <c r="K59" s="91"/>
    </row>
    <row r="60" spans="1:11" s="83" customFormat="1" ht="18.75" customHeight="1" x14ac:dyDescent="0.2">
      <c r="B60" s="111" t="s">
        <v>7</v>
      </c>
      <c r="C60" s="186">
        <f>(Performance!B4-Strategie!$B$6)*(Performance!J4-Performance!J11)</f>
        <v>3.6148166623272115E-4</v>
      </c>
      <c r="D60" s="186">
        <f>(Performance!C4-Strategie!$B$6)*(Performance!K4-Performance!K11)</f>
        <v>-1.1953890640265219E-4</v>
      </c>
      <c r="E60" s="186">
        <f>(Performance!D4-Strategie!$B$6)*(Performance!L4-Performance!L11)</f>
        <v>2.6412448364640295E-4</v>
      </c>
      <c r="F60" s="186">
        <f>(Performance!E4-Strategie!$B$6)*(Performance!M4-Performance!M11)</f>
        <v>-3.4597064562784022E-4</v>
      </c>
      <c r="G60" s="186">
        <f>(Performance!F4-Strategie!$B$6)*(Performance!N4-Performance!N11)</f>
        <v>3.0482084728148491E-4</v>
      </c>
      <c r="H60" s="186">
        <f>(Performance!G4-Strategie!$B$6)*(Performance!O4-Performance!O11)</f>
        <v>-1.2699705189094196E-4</v>
      </c>
      <c r="I60" s="187">
        <f t="shared" si="2"/>
        <v>3.3792039323917458E-4</v>
      </c>
      <c r="J60" s="89"/>
      <c r="K60" s="91"/>
    </row>
    <row r="61" spans="1:11" s="83" customFormat="1" ht="18.75" customHeight="1" x14ac:dyDescent="0.2">
      <c r="B61" s="111" t="s">
        <v>8</v>
      </c>
      <c r="C61" s="186">
        <f>(Performance!B5-Strategie!$B$7)*(Performance!J5-Performance!J11)</f>
        <v>-3.8908713996610027E-4</v>
      </c>
      <c r="D61" s="186">
        <f>(Performance!C5-Strategie!$B$7)*(Performance!K5-Performance!K11)</f>
        <v>-3.850841490563538E-4</v>
      </c>
      <c r="E61" s="186">
        <f>(Performance!D5-Strategie!$B$7)*(Performance!L5-Performance!L11)</f>
        <v>-4.9747810267220839E-4</v>
      </c>
      <c r="F61" s="186">
        <f>(Performance!E5-Strategie!$B$7)*(Performance!M5-Performance!M11)</f>
        <v>-1.5053876185533335E-3</v>
      </c>
      <c r="G61" s="186">
        <f>(Performance!F5-Strategie!$B$7)*(Performance!N5-Performance!N11)</f>
        <v>2.4568190820720311E-4</v>
      </c>
      <c r="H61" s="186">
        <f>(Performance!G5-Strategie!$B$7)*(Performance!O5-Performance!O11)</f>
        <v>1.0353507626871726E-4</v>
      </c>
      <c r="I61" s="187">
        <f t="shared" si="2"/>
        <v>-2.4278200257720757E-3</v>
      </c>
      <c r="J61" s="89"/>
      <c r="K61" s="91"/>
    </row>
    <row r="62" spans="1:11" s="83" customFormat="1" ht="18.75" customHeight="1" x14ac:dyDescent="0.2">
      <c r="B62" s="111" t="s">
        <v>9</v>
      </c>
      <c r="C62" s="186">
        <f>(Performance!B6-Strategie!$B$8)*(Performance!J6-Performance!J11)</f>
        <v>7.5931591902420124E-4</v>
      </c>
      <c r="D62" s="186">
        <f>(Performance!C6-Strategie!$B$8)*(Performance!K6-Performance!K11)</f>
        <v>-5.2657929950928055E-4</v>
      </c>
      <c r="E62" s="186">
        <f>(Performance!D6-Strategie!$B$8)*(Performance!L6-Performance!L11)</f>
        <v>-1.527489568147632E-3</v>
      </c>
      <c r="F62" s="186">
        <f>(Performance!E6-Strategie!$B$8)*(Performance!M6-Performance!M11)</f>
        <v>-2.0113262135393965E-4</v>
      </c>
      <c r="G62" s="186">
        <f>(Performance!F6-Strategie!$B$8)*(Performance!N6-Performance!N11)</f>
        <v>1.5709004108599913E-3</v>
      </c>
      <c r="H62" s="186">
        <f>(Performance!G6-Strategie!$B$8)*(Performance!O6-Performance!O11)</f>
        <v>8.2200875239296005E-4</v>
      </c>
      <c r="I62" s="187">
        <f t="shared" si="2"/>
        <v>8.9702359326630061E-4</v>
      </c>
      <c r="J62" s="89"/>
      <c r="K62" s="91"/>
    </row>
    <row r="63" spans="1:11" s="83" customFormat="1" ht="18.75" customHeight="1" x14ac:dyDescent="0.2">
      <c r="B63" s="111" t="s">
        <v>49</v>
      </c>
      <c r="C63" s="186">
        <f>(Performance!B7-Strategie!$B$9)*(Performance!J7-Performance!J11)</f>
        <v>-4.246662449071142E-4</v>
      </c>
      <c r="D63" s="186">
        <f>(Performance!C7-Strategie!$B$9)*(Performance!K7-Performance!K11)</f>
        <v>6.4926670975949772E-4</v>
      </c>
      <c r="E63" s="186">
        <f>(Performance!D7-Strategie!$B$9)*(Performance!L7-Performance!L11)</f>
        <v>-4.5101320669621526E-4</v>
      </c>
      <c r="F63" s="186">
        <f>(Performance!E7-Strategie!$B$9)*(Performance!M7-Performance!M11)</f>
        <v>4.3458025650006056E-4</v>
      </c>
      <c r="G63" s="186">
        <f>(Performance!F7-Strategie!$B$9)*(Performance!N7-Performance!N11)</f>
        <v>1.9556278605054554E-4</v>
      </c>
      <c r="H63" s="186">
        <f>(Performance!G7-Strategie!$B$9)*(Performance!O7-Performance!O11)</f>
        <v>3.7384710653265039E-4</v>
      </c>
      <c r="I63" s="187">
        <f t="shared" si="2"/>
        <v>7.7757740723942469E-4</v>
      </c>
      <c r="J63" s="89"/>
      <c r="K63" s="91"/>
    </row>
    <row r="64" spans="1:11" s="83" customFormat="1" ht="18.75" customHeight="1" x14ac:dyDescent="0.2">
      <c r="B64" s="111" t="s">
        <v>53</v>
      </c>
      <c r="C64" s="186">
        <f>(Performance!B8-Strategie!$B$10)*(Performance!J8-Performance!J11)</f>
        <v>3.7975497491540686E-4</v>
      </c>
      <c r="D64" s="186">
        <f>(Performance!C8-Strategie!$B$10)*(Performance!K8-Performance!K11)</f>
        <v>2.9480161569972138E-4</v>
      </c>
      <c r="E64" s="186">
        <f>(Performance!D8-Strategie!$B$10)*(Performance!L8-Performance!L11)</f>
        <v>8.6111327400854637E-4</v>
      </c>
      <c r="F64" s="186">
        <f>(Performance!E8-Strategie!$B$10)*(Performance!M8-Performance!M11)</f>
        <v>-1.7185161617517496E-3</v>
      </c>
      <c r="G64" s="186">
        <f>(Performance!F8-Strategie!$B$10)*(Performance!N8-Performance!N11)</f>
        <v>2.7114963977757393E-3</v>
      </c>
      <c r="H64" s="186">
        <f>(Performance!G8-Strategie!$B$10)*(Performance!O8-Performance!O11)</f>
        <v>7.8253383229301399E-4</v>
      </c>
      <c r="I64" s="187">
        <f t="shared" si="2"/>
        <v>3.3111839329406784E-3</v>
      </c>
      <c r="J64" s="89"/>
      <c r="K64" s="91"/>
    </row>
    <row r="65" spans="2:11" s="83" customFormat="1" ht="18.75" customHeight="1" x14ac:dyDescent="0.2">
      <c r="B65" s="111" t="s">
        <v>54</v>
      </c>
      <c r="C65" s="186">
        <f>(Performance!B9-Strategie!$B$11)*(Performance!J9-Performance!J11)</f>
        <v>2.1163623453617704E-4</v>
      </c>
      <c r="D65" s="186">
        <f>(Performance!C9-Strategie!$B$11)*(Performance!K9-Performance!K11)</f>
        <v>-2.7850575982412556E-4</v>
      </c>
      <c r="E65" s="186">
        <f>(Performance!D9-Strategie!$B$11)*(Performance!L9-Performance!L11)</f>
        <v>-2.1622281987626274E-4</v>
      </c>
      <c r="F65" s="186">
        <f>(Performance!E9-Strategie!$B$11)*(Performance!M9-Performance!M11)</f>
        <v>-4.4961884773962334E-4</v>
      </c>
      <c r="G65" s="186">
        <f>(Performance!F9-Strategie!$B$11)*(Performance!N9-Performance!N11)</f>
        <v>5.6264070491417E-4</v>
      </c>
      <c r="H65" s="186">
        <f>(Performance!G9-Strategie!$B$11)*(Performance!O9-Performance!O11)</f>
        <v>3.6967350162114436E-4</v>
      </c>
      <c r="I65" s="187">
        <f t="shared" si="2"/>
        <v>1.996030136314797E-4</v>
      </c>
      <c r="J65" s="89"/>
      <c r="K65" s="91"/>
    </row>
    <row r="66" spans="2:11" s="83" customFormat="1" ht="18.75" customHeight="1" x14ac:dyDescent="0.2">
      <c r="B66" s="131" t="s">
        <v>89</v>
      </c>
      <c r="C66" s="186">
        <f>(Performance!B10-Strategie!$B$12)*(Performance!J10-Performance!J11)</f>
        <v>-1.0926214892072602E-4</v>
      </c>
      <c r="D66" s="186">
        <f>(Performance!C10-Strategie!$B$12)*(Performance!K10-Performance!K11)</f>
        <v>1.206591681083218E-4</v>
      </c>
      <c r="E66" s="186">
        <f>(Performance!D10-Strategie!$B$12)*(Performance!L10-Performance!L11)</f>
        <v>3.0449120739391226E-4</v>
      </c>
      <c r="F66" s="186">
        <f>(Performance!E10-Strategie!$B$12)*(Performance!M10-Performance!M11)</f>
        <v>1.5411171590382493E-4</v>
      </c>
      <c r="G66" s="186">
        <f>(Performance!F10-Strategie!$B$12)*(Performance!N10-Performance!N11)</f>
        <v>-3.1740658051740531E-4</v>
      </c>
      <c r="H66" s="186">
        <f>(Performance!G10-Strategie!$B$12)*(Performance!O10-Performance!O11)</f>
        <v>-3.5231772836779121E-4</v>
      </c>
      <c r="I66" s="187">
        <f t="shared" si="2"/>
        <v>-1.9972436639986355E-4</v>
      </c>
      <c r="J66" s="89"/>
      <c r="K66" s="91"/>
    </row>
    <row r="67" spans="2:11" s="83" customFormat="1" ht="18.75" customHeight="1" x14ac:dyDescent="0.2">
      <c r="B67" s="147" t="s">
        <v>31</v>
      </c>
      <c r="C67" s="188">
        <f>SUM(C58:C66)</f>
        <v>1.2901568882416228E-3</v>
      </c>
      <c r="D67" s="188">
        <f t="shared" ref="D67:H67" si="3">SUM(D58:D66)</f>
        <v>-1.1185690004132435E-3</v>
      </c>
      <c r="E67" s="188">
        <f t="shared" si="3"/>
        <v>-1.776440210116616E-3</v>
      </c>
      <c r="F67" s="188">
        <f t="shared" si="3"/>
        <v>-5.2794661648127832E-3</v>
      </c>
      <c r="G67" s="188">
        <f t="shared" si="3"/>
        <v>6.9348763985349737E-3</v>
      </c>
      <c r="H67" s="188">
        <f t="shared" si="3"/>
        <v>2.7674973382837455E-3</v>
      </c>
      <c r="I67" s="189">
        <f>SUM(C67:H67)</f>
        <v>2.8180552497176995E-3</v>
      </c>
      <c r="J67" s="89"/>
      <c r="K67" s="91"/>
    </row>
    <row r="68" spans="2:11" s="83" customFormat="1" ht="14.25" customHeight="1" x14ac:dyDescent="0.2">
      <c r="B68" s="148" t="str">
        <f>B56</f>
        <v>01.01.2024-30.06.2024</v>
      </c>
      <c r="C68" s="51"/>
      <c r="D68" s="52"/>
      <c r="E68" s="52"/>
      <c r="F68" s="51"/>
      <c r="G68" s="52"/>
      <c r="H68" s="52"/>
      <c r="I68" s="146"/>
      <c r="J68" s="102"/>
      <c r="K68" s="91"/>
    </row>
    <row r="69" spans="2:11" s="83" customFormat="1" x14ac:dyDescent="0.2">
      <c r="B69" s="110" t="s">
        <v>60</v>
      </c>
      <c r="C69" s="105">
        <f>C56</f>
        <v>45292</v>
      </c>
      <c r="D69" s="105">
        <f t="shared" ref="D69:H69" si="4">D57</f>
        <v>45351</v>
      </c>
      <c r="E69" s="105">
        <f t="shared" si="4"/>
        <v>45382</v>
      </c>
      <c r="F69" s="105">
        <f t="shared" si="4"/>
        <v>45412</v>
      </c>
      <c r="G69" s="105">
        <f t="shared" si="4"/>
        <v>45443</v>
      </c>
      <c r="H69" s="105">
        <f t="shared" si="4"/>
        <v>45473</v>
      </c>
      <c r="I69" s="146" t="str">
        <f>I57</f>
        <v>1. Semester 2024</v>
      </c>
      <c r="J69" s="102"/>
      <c r="K69" s="91"/>
    </row>
    <row r="70" spans="2:11" s="83" customFormat="1" ht="18.75" customHeight="1" x14ac:dyDescent="0.2">
      <c r="B70" s="111" t="s">
        <v>5</v>
      </c>
      <c r="C70" s="186">
        <f>(Performance!J14-Performance!J2)*Performance!B2</f>
        <v>-8.4127798986333857E-6</v>
      </c>
      <c r="D70" s="186">
        <f>(Performance!K14-Performance!K2)*Performance!C2</f>
        <v>-1.0713630888441815E-5</v>
      </c>
      <c r="E70" s="186">
        <f>(Performance!L14-Performance!L2)*Performance!D2</f>
        <v>-2.6834682452194532E-5</v>
      </c>
      <c r="F70" s="186">
        <f>(Performance!M14-Performance!M2)*Performance!E2</f>
        <v>-2.9677548966880381E-5</v>
      </c>
      <c r="G70" s="186">
        <f>(Performance!N14-Performance!N2)*Performance!F2</f>
        <v>-2.5319094346182782E-5</v>
      </c>
      <c r="H70" s="186">
        <f>(Performance!O14-Performance!O2)*Performance!G2</f>
        <v>-5.3669769114960661E-5</v>
      </c>
      <c r="I70" s="187">
        <f>SUM(C70:H70)</f>
        <v>-1.5462750566729356E-4</v>
      </c>
      <c r="J70" s="89"/>
      <c r="K70" s="91"/>
    </row>
    <row r="71" spans="2:11" s="83" customFormat="1" ht="18.75" customHeight="1" x14ac:dyDescent="0.2">
      <c r="B71" s="111" t="s">
        <v>6</v>
      </c>
      <c r="C71" s="186">
        <f>(Performance!J15-Performance!J3)*Performance!B3</f>
        <v>-3.0531943456595529E-4</v>
      </c>
      <c r="D71" s="186">
        <f>(Performance!K15-Performance!K3)*Performance!C3</f>
        <v>2.8982856695942955E-4</v>
      </c>
      <c r="E71" s="186">
        <f>(Performance!L15-Performance!L3)*Performance!D3</f>
        <v>-1.0709480297388478E-3</v>
      </c>
      <c r="F71" s="186">
        <f>(Performance!M15-Performance!M3)*Performance!E3</f>
        <v>-2.9337755114897096E-4</v>
      </c>
      <c r="G71" s="186">
        <f>(Performance!N15-Performance!N3)*Performance!F3</f>
        <v>1.6929631731659367E-3</v>
      </c>
      <c r="H71" s="186">
        <f>(Performance!O15-Performance!O3)*Performance!G3</f>
        <v>9.9313034391880603E-4</v>
      </c>
      <c r="I71" s="187">
        <f t="shared" ref="I71:I78" si="5">SUM(C71:H71)</f>
        <v>1.3062770685903981E-3</v>
      </c>
      <c r="J71" s="89"/>
      <c r="K71" s="91"/>
    </row>
    <row r="72" spans="2:11" s="83" customFormat="1" ht="18.75" customHeight="1" x14ac:dyDescent="0.2">
      <c r="B72" s="111" t="s">
        <v>7</v>
      </c>
      <c r="C72" s="186">
        <f>(Performance!J16-Performance!J4)*Performance!B4</f>
        <v>1.7895205061231462E-3</v>
      </c>
      <c r="D72" s="186">
        <f>(Performance!K16-Performance!K4)*Performance!C4</f>
        <v>-1.3495896168276493E-3</v>
      </c>
      <c r="E72" s="186">
        <f>(Performance!L16-Performance!L4)*Performance!D4</f>
        <v>-8.2565794343573279E-4</v>
      </c>
      <c r="F72" s="186">
        <f>(Performance!M16-Performance!M4)*Performance!E4</f>
        <v>-3.6775967751112278E-4</v>
      </c>
      <c r="G72" s="186">
        <f>(Performance!N16-Performance!N4)*Performance!F4</f>
        <v>2.1274959124734827E-3</v>
      </c>
      <c r="H72" s="186">
        <f>(Performance!O16-Performance!O4)*Performance!G4</f>
        <v>1.2688668270692777E-3</v>
      </c>
      <c r="I72" s="187">
        <f t="shared" si="5"/>
        <v>2.6428760078914017E-3</v>
      </c>
      <c r="J72" s="89"/>
      <c r="K72" s="91"/>
    </row>
    <row r="73" spans="2:11" s="83" customFormat="1" ht="18.75" customHeight="1" x14ac:dyDescent="0.2">
      <c r="B73" s="111" t="s">
        <v>8</v>
      </c>
      <c r="C73" s="186">
        <f>(Performance!J17-Performance!J5)*Performance!B5</f>
        <v>1.0497916229114472E-6</v>
      </c>
      <c r="D73" s="186">
        <f>(Performance!K17-Performance!K5)*Performance!C5</f>
        <v>-4.2968335373634264E-6</v>
      </c>
      <c r="E73" s="186">
        <f>(Performance!L17-Performance!L5)*Performance!D5</f>
        <v>-1.3903645193580387E-6</v>
      </c>
      <c r="F73" s="186">
        <f>(Performance!M17-Performance!M5)*Performance!E5</f>
        <v>-6.4090828559294555E-6</v>
      </c>
      <c r="G73" s="186">
        <f>(Performance!N17-Performance!N5)*Performance!F5</f>
        <v>-7.1074001708031773E-6</v>
      </c>
      <c r="H73" s="186">
        <f>(Performance!O17-Performance!O5)*Performance!G5</f>
        <v>-3.8561773375992147E-6</v>
      </c>
      <c r="I73" s="187">
        <f t="shared" si="5"/>
        <v>-2.2010066798141865E-5</v>
      </c>
      <c r="J73" s="89"/>
      <c r="K73" s="91"/>
    </row>
    <row r="74" spans="2:11" s="83" customFormat="1" ht="18.75" customHeight="1" x14ac:dyDescent="0.2">
      <c r="B74" s="111" t="s">
        <v>9</v>
      </c>
      <c r="C74" s="186">
        <f>(Performance!J18-Performance!J6)*Performance!B6</f>
        <v>6.3902577835268619E-5</v>
      </c>
      <c r="D74" s="186">
        <f>(Performance!K18-Performance!K6)*Performance!C6</f>
        <v>2.3596584468621856E-5</v>
      </c>
      <c r="E74" s="186">
        <f>(Performance!L18-Performance!L6)*Performance!D6</f>
        <v>8.9240696785576726E-5</v>
      </c>
      <c r="F74" s="186">
        <f>(Performance!M18-Performance!M6)*Performance!E6</f>
        <v>-6.0684439316921339E-5</v>
      </c>
      <c r="G74" s="186">
        <f>(Performance!N18-Performance!N6)*Performance!F6</f>
        <v>1.5049856924568322E-5</v>
      </c>
      <c r="H74" s="186">
        <f>(Performance!O18-Performance!O6)*Performance!G6</f>
        <v>6.9857469678436394E-5</v>
      </c>
      <c r="I74" s="187">
        <f t="shared" si="5"/>
        <v>2.0096274637555056E-4</v>
      </c>
      <c r="J74" s="89"/>
      <c r="K74" s="91"/>
    </row>
    <row r="75" spans="2:11" s="83" customFormat="1" ht="18.75" customHeight="1" x14ac:dyDescent="0.2">
      <c r="B75" s="111" t="s">
        <v>49</v>
      </c>
      <c r="C75" s="186">
        <f>(Performance!J19-Performance!J7)*Performance!B7</f>
        <v>4.3394976984983845E-5</v>
      </c>
      <c r="D75" s="186">
        <f>(Performance!K19-Performance!K7)*Performance!C7</f>
        <v>-1.2592090836114576E-4</v>
      </c>
      <c r="E75" s="186">
        <f>(Performance!L19-Performance!L7)*Performance!D7</f>
        <v>-1.5850323241275898E-4</v>
      </c>
      <c r="F75" s="186">
        <f>(Performance!M19-Performance!M7)*Performance!E7</f>
        <v>9.3222732845274411E-5</v>
      </c>
      <c r="G75" s="186">
        <f>(Performance!N19-Performance!N7)*Performance!F7</f>
        <v>-2.6651465539181561E-4</v>
      </c>
      <c r="H75" s="186">
        <f>(Performance!O19-Performance!O7)*Performance!G7</f>
        <v>-1.3006462987554679E-4</v>
      </c>
      <c r="I75" s="187">
        <f t="shared" si="5"/>
        <v>-5.4438571621100889E-4</v>
      </c>
      <c r="J75" s="89"/>
      <c r="K75" s="91"/>
    </row>
    <row r="76" spans="2:11" s="83" customFormat="1" ht="18.75" customHeight="1" x14ac:dyDescent="0.2">
      <c r="B76" s="111" t="s">
        <v>53</v>
      </c>
      <c r="C76" s="186">
        <f>(Performance!J20-Performance!J8)*Performance!B8</f>
        <v>-6.4228353020721485E-3</v>
      </c>
      <c r="D76" s="186">
        <f>(Performance!K20-Performance!K8)*Performance!C8</f>
        <v>1.5050329411440825E-3</v>
      </c>
      <c r="E76" s="186">
        <f>(Performance!L20-Performance!L8)*Performance!D8</f>
        <v>2.92413497305894E-3</v>
      </c>
      <c r="F76" s="186">
        <f>(Performance!M20-Performance!M8)*Performance!E8</f>
        <v>8.2809417474631677E-3</v>
      </c>
      <c r="G76" s="186">
        <f>(Performance!N20-Performance!N8)*Performance!F8</f>
        <v>-1.9014202178440905E-2</v>
      </c>
      <c r="H76" s="186">
        <f>(Performance!O20-Performance!O8)*Performance!G8</f>
        <v>-9.876110996015753E-3</v>
      </c>
      <c r="I76" s="187">
        <f t="shared" si="5"/>
        <v>-2.2603038814862617E-2</v>
      </c>
      <c r="J76" s="89"/>
      <c r="K76" s="91"/>
    </row>
    <row r="77" spans="2:11" s="83" customFormat="1" ht="18.75" customHeight="1" x14ac:dyDescent="0.2">
      <c r="B77" s="111" t="s">
        <v>54</v>
      </c>
      <c r="C77" s="186">
        <f>(Performance!J21-Performance!J9)*Performance!B9</f>
        <v>3.3386302042755445E-4</v>
      </c>
      <c r="D77" s="186">
        <f>(Performance!K21-Performance!K9)*Performance!C9</f>
        <v>3.8127684075363788E-5</v>
      </c>
      <c r="E77" s="186">
        <f>(Performance!L21-Performance!L9)*Performance!D9</f>
        <v>1.3256230233344213E-5</v>
      </c>
      <c r="F77" s="186">
        <f>(Performance!M21-Performance!M9)*Performance!E9</f>
        <v>-2.282239786797081E-4</v>
      </c>
      <c r="G77" s="186">
        <f>(Performance!N21-Performance!N9)*Performance!F9</f>
        <v>1.9143294268976069E-3</v>
      </c>
      <c r="H77" s="186">
        <f>(Performance!O21-Performance!O9)*Performance!G9</f>
        <v>1.0432965583628056E-3</v>
      </c>
      <c r="I77" s="187">
        <f t="shared" si="5"/>
        <v>3.1146489413169669E-3</v>
      </c>
      <c r="J77" s="89"/>
      <c r="K77" s="91"/>
    </row>
    <row r="78" spans="2:11" s="83" customFormat="1" ht="18.75" customHeight="1" x14ac:dyDescent="0.2">
      <c r="B78" s="131" t="s">
        <v>89</v>
      </c>
      <c r="C78" s="186">
        <f>(Performance!J22-Performance!J10)*Performance!B10</f>
        <v>-1.0933122450282071E-3</v>
      </c>
      <c r="D78" s="186">
        <f>(Performance!K22-Performance!K10)*Performance!C10</f>
        <v>9.6881544942450004E-4</v>
      </c>
      <c r="E78" s="186">
        <f>(Performance!L22-Performance!L10)*Performance!D10</f>
        <v>1.1327348955064915E-3</v>
      </c>
      <c r="F78" s="186">
        <f>(Performance!M22-Performance!M10)*Performance!E10</f>
        <v>1.1913055878403226E-3</v>
      </c>
      <c r="G78" s="186">
        <f>(Performance!N22-Performance!N10)*Performance!F10</f>
        <v>-1.1519839743896745E-3</v>
      </c>
      <c r="H78" s="186">
        <f>(Performance!O22-Performance!O10)*Performance!G10</f>
        <v>-2.7683343863825908E-3</v>
      </c>
      <c r="I78" s="187">
        <f t="shared" si="5"/>
        <v>-1.720774673029158E-3</v>
      </c>
      <c r="J78" s="89"/>
      <c r="K78" s="91"/>
    </row>
    <row r="79" spans="2:11" s="83" customFormat="1" ht="18.75" customHeight="1" thickBot="1" x14ac:dyDescent="0.25">
      <c r="B79" s="132" t="s">
        <v>31</v>
      </c>
      <c r="C79" s="190">
        <f>SUM(C70:C78)</f>
        <v>-5.5981488885710794E-3</v>
      </c>
      <c r="D79" s="190">
        <f t="shared" ref="D79:H79" si="6">SUM(D70:D78)</f>
        <v>1.3348802364573974E-3</v>
      </c>
      <c r="E79" s="190">
        <f t="shared" si="6"/>
        <v>2.0760325430254599E-3</v>
      </c>
      <c r="F79" s="190">
        <f t="shared" si="6"/>
        <v>8.5793377896692322E-3</v>
      </c>
      <c r="G79" s="190">
        <f t="shared" si="6"/>
        <v>-1.4715288933277788E-2</v>
      </c>
      <c r="H79" s="190">
        <f t="shared" si="6"/>
        <v>-9.4568847596971251E-3</v>
      </c>
      <c r="I79" s="191">
        <f>SUM(C79:H79)</f>
        <v>-1.7780072012393906E-2</v>
      </c>
      <c r="J79" s="89"/>
      <c r="K79" s="91"/>
    </row>
    <row r="80" spans="2:11" s="83" customFormat="1" x14ac:dyDescent="0.2"/>
    <row r="81" spans="1:8" s="83" customFormat="1" x14ac:dyDescent="0.2">
      <c r="A81" s="48" t="s">
        <v>66</v>
      </c>
      <c r="B81" s="85" t="s">
        <v>67</v>
      </c>
    </row>
    <row r="82" spans="1:8" s="83" customFormat="1" ht="15" thickBot="1" x14ac:dyDescent="0.25"/>
    <row r="83" spans="1:8" s="83" customFormat="1" ht="60" customHeight="1" x14ac:dyDescent="0.2">
      <c r="B83" s="134" t="s">
        <v>75</v>
      </c>
      <c r="C83" s="135" t="s">
        <v>76</v>
      </c>
      <c r="D83" s="135" t="s">
        <v>68</v>
      </c>
      <c r="E83" s="135" t="s">
        <v>69</v>
      </c>
      <c r="F83" s="135" t="s">
        <v>70</v>
      </c>
      <c r="G83" s="136" t="s">
        <v>71</v>
      </c>
    </row>
    <row r="84" spans="1:8" s="83" customFormat="1" x14ac:dyDescent="0.2">
      <c r="A84" s="86"/>
      <c r="B84" s="111" t="s">
        <v>5</v>
      </c>
      <c r="C84" s="32"/>
      <c r="D84" s="32"/>
      <c r="E84" s="32"/>
      <c r="F84" s="32"/>
      <c r="G84" s="137"/>
    </row>
    <row r="85" spans="1:8" s="83" customFormat="1" x14ac:dyDescent="0.2">
      <c r="B85" s="111" t="s">
        <v>6</v>
      </c>
      <c r="C85" s="36"/>
      <c r="D85" s="36"/>
      <c r="E85" s="36"/>
      <c r="F85" s="36"/>
      <c r="G85" s="123"/>
    </row>
    <row r="86" spans="1:8" s="83" customFormat="1" x14ac:dyDescent="0.2">
      <c r="B86" s="111" t="s">
        <v>7</v>
      </c>
      <c r="C86" s="37"/>
      <c r="D86" s="37"/>
      <c r="E86" s="37"/>
      <c r="F86" s="37"/>
      <c r="G86" s="138"/>
    </row>
    <row r="87" spans="1:8" s="83" customFormat="1" x14ac:dyDescent="0.2">
      <c r="B87" s="111" t="s">
        <v>8</v>
      </c>
      <c r="C87" s="36" t="s">
        <v>99</v>
      </c>
      <c r="D87" s="36" t="s">
        <v>99</v>
      </c>
      <c r="E87" s="36" t="s">
        <v>99</v>
      </c>
      <c r="F87" s="36" t="s">
        <v>99</v>
      </c>
      <c r="G87" s="123" t="s">
        <v>99</v>
      </c>
      <c r="H87" s="93" t="s">
        <v>88</v>
      </c>
    </row>
    <row r="88" spans="1:8" s="83" customFormat="1" x14ac:dyDescent="0.2">
      <c r="B88" s="111" t="s">
        <v>9</v>
      </c>
      <c r="C88" s="44"/>
      <c r="D88" s="44"/>
      <c r="E88" s="44"/>
      <c r="F88" s="44"/>
      <c r="G88" s="139"/>
    </row>
    <row r="89" spans="1:8" s="83" customFormat="1" x14ac:dyDescent="0.2">
      <c r="B89" s="111" t="s">
        <v>49</v>
      </c>
      <c r="C89" s="45"/>
      <c r="D89" s="45"/>
      <c r="E89" s="45"/>
      <c r="F89" s="45"/>
      <c r="G89" s="140"/>
    </row>
    <row r="90" spans="1:8" s="83" customFormat="1" x14ac:dyDescent="0.2">
      <c r="B90" s="111" t="s">
        <v>53</v>
      </c>
      <c r="C90" s="37"/>
      <c r="D90" s="37"/>
      <c r="E90" s="37"/>
      <c r="F90" s="37"/>
      <c r="G90" s="138"/>
    </row>
    <row r="91" spans="1:8" s="83" customFormat="1" x14ac:dyDescent="0.2">
      <c r="B91" s="131" t="s">
        <v>54</v>
      </c>
      <c r="C91" s="45"/>
      <c r="D91" s="45"/>
      <c r="E91" s="45"/>
      <c r="F91" s="45"/>
      <c r="G91" s="140"/>
    </row>
    <row r="92" spans="1:8" s="83" customFormat="1" ht="15" thickBot="1" x14ac:dyDescent="0.25">
      <c r="B92" s="141" t="s">
        <v>89</v>
      </c>
      <c r="C92" s="125"/>
      <c r="D92" s="125"/>
      <c r="E92" s="125"/>
      <c r="F92" s="125"/>
      <c r="G92" s="142"/>
    </row>
    <row r="93" spans="1:8" s="83" customFormat="1" x14ac:dyDescent="0.2"/>
    <row r="94" spans="1:8" s="83" customFormat="1" x14ac:dyDescent="0.2"/>
    <row r="95" spans="1:8" s="83" customFormat="1" ht="14.1" customHeight="1" x14ac:dyDescent="0.2"/>
    <row r="96" spans="1:8" s="83" customFormat="1" x14ac:dyDescent="0.2"/>
    <row r="97" s="83" customFormat="1" ht="15.6" customHeight="1" x14ac:dyDescent="0.2"/>
    <row r="98" s="83" customFormat="1" ht="14.1" customHeight="1" x14ac:dyDescent="0.2"/>
    <row r="99" s="83" customFormat="1" ht="14.1" customHeight="1" x14ac:dyDescent="0.2"/>
    <row r="100" s="83" customFormat="1" ht="14.1" customHeight="1" x14ac:dyDescent="0.2"/>
    <row r="101" s="83" customFormat="1" ht="14.1" customHeight="1" x14ac:dyDescent="0.2"/>
    <row r="102" s="83" customFormat="1" ht="14.1" customHeight="1" x14ac:dyDescent="0.2"/>
    <row r="103" s="83" customFormat="1" ht="14.1" customHeight="1" x14ac:dyDescent="0.2"/>
    <row r="104" s="83" customFormat="1" ht="14.1" customHeight="1" x14ac:dyDescent="0.2"/>
    <row r="105" s="83" customFormat="1" ht="14.1" customHeight="1" x14ac:dyDescent="0.2"/>
    <row r="106" s="83" customFormat="1" ht="14.1" customHeight="1" x14ac:dyDescent="0.2"/>
    <row r="107" s="83" customFormat="1" ht="14.1" customHeight="1" x14ac:dyDescent="0.2"/>
    <row r="108" s="83" customFormat="1" ht="14.1" customHeight="1" x14ac:dyDescent="0.2"/>
    <row r="109" s="83" customFormat="1" ht="14.1" customHeight="1" x14ac:dyDescent="0.2"/>
    <row r="110" s="83" customFormat="1" ht="14.1" customHeight="1" x14ac:dyDescent="0.2"/>
    <row r="111" s="83" customFormat="1" x14ac:dyDescent="0.2"/>
    <row r="112" s="83" customFormat="1" x14ac:dyDescent="0.2"/>
    <row r="113" s="83" customFormat="1" x14ac:dyDescent="0.2"/>
    <row r="114" s="83" customFormat="1" x14ac:dyDescent="0.2"/>
    <row r="115" s="83" customFormat="1" x14ac:dyDescent="0.2"/>
    <row r="116" s="83" customFormat="1" x14ac:dyDescent="0.2"/>
    <row r="117" s="83" customFormat="1" x14ac:dyDescent="0.2"/>
    <row r="118" s="83" customFormat="1" x14ac:dyDescent="0.2"/>
    <row r="119" s="83" customFormat="1" x14ac:dyDescent="0.2"/>
    <row r="120" s="83" customFormat="1" x14ac:dyDescent="0.2"/>
    <row r="121" s="83" customFormat="1" x14ac:dyDescent="0.2"/>
    <row r="122" s="83" customFormat="1" x14ac:dyDescent="0.2"/>
    <row r="123" s="83" customFormat="1" x14ac:dyDescent="0.2"/>
    <row r="124" s="83" customFormat="1" x14ac:dyDescent="0.2"/>
    <row r="125" s="83" customFormat="1" x14ac:dyDescent="0.2"/>
    <row r="126" s="83" customFormat="1" x14ac:dyDescent="0.2"/>
    <row r="127" s="83" customFormat="1" x14ac:dyDescent="0.2"/>
    <row r="128" s="83" customFormat="1" x14ac:dyDescent="0.2"/>
    <row r="129" s="83" customFormat="1" x14ac:dyDescent="0.2"/>
    <row r="130" s="83" customFormat="1" x14ac:dyDescent="0.2"/>
    <row r="131" s="83" customFormat="1" x14ac:dyDescent="0.2"/>
    <row r="132" s="83" customFormat="1" x14ac:dyDescent="0.2"/>
    <row r="133" s="83" customFormat="1" x14ac:dyDescent="0.2"/>
    <row r="134" s="83" customFormat="1" x14ac:dyDescent="0.2"/>
    <row r="135" s="83" customFormat="1" x14ac:dyDescent="0.2"/>
    <row r="136" s="83" customFormat="1" x14ac:dyDescent="0.2"/>
    <row r="137" s="83" customFormat="1" x14ac:dyDescent="0.2"/>
    <row r="138" s="83" customFormat="1" x14ac:dyDescent="0.2"/>
    <row r="139" s="83" customFormat="1" x14ac:dyDescent="0.2"/>
    <row r="140" s="83" customFormat="1" x14ac:dyDescent="0.2"/>
    <row r="141" s="83" customFormat="1" x14ac:dyDescent="0.2"/>
    <row r="142" s="83" customFormat="1" x14ac:dyDescent="0.2"/>
    <row r="143" s="83" customFormat="1" x14ac:dyDescent="0.2"/>
    <row r="144" s="83" customFormat="1" x14ac:dyDescent="0.2"/>
    <row r="145" s="83" customFormat="1" x14ac:dyDescent="0.2"/>
    <row r="146" s="83" customFormat="1" x14ac:dyDescent="0.2"/>
    <row r="147" s="83" customFormat="1" x14ac:dyDescent="0.2"/>
    <row r="148" s="83" customFormat="1" x14ac:dyDescent="0.2"/>
    <row r="149" s="83" customFormat="1" x14ac:dyDescent="0.2"/>
    <row r="150" s="83" customFormat="1" x14ac:dyDescent="0.2"/>
    <row r="151" s="83" customFormat="1" x14ac:dyDescent="0.2"/>
    <row r="152" s="83" customFormat="1" x14ac:dyDescent="0.2"/>
    <row r="153" s="83" customFormat="1" x14ac:dyDescent="0.2"/>
    <row r="154" s="83" customFormat="1" x14ac:dyDescent="0.2"/>
    <row r="155" s="83" customFormat="1" x14ac:dyDescent="0.2"/>
    <row r="156" s="83" customFormat="1" x14ac:dyDescent="0.2"/>
    <row r="157" s="83" customFormat="1" x14ac:dyDescent="0.2"/>
    <row r="158" s="83" customFormat="1" x14ac:dyDescent="0.2"/>
    <row r="159" s="83" customFormat="1" x14ac:dyDescent="0.2"/>
    <row r="160" s="83" customFormat="1" x14ac:dyDescent="0.2"/>
    <row r="161" s="83" customFormat="1" x14ac:dyDescent="0.2"/>
    <row r="162" s="83" customFormat="1" x14ac:dyDescent="0.2"/>
    <row r="163" s="83" customFormat="1" x14ac:dyDescent="0.2"/>
    <row r="164" s="83" customFormat="1" x14ac:dyDescent="0.2"/>
    <row r="165" s="83" customFormat="1" x14ac:dyDescent="0.2"/>
    <row r="166" s="83" customFormat="1" x14ac:dyDescent="0.2"/>
    <row r="167" s="83" customFormat="1" x14ac:dyDescent="0.2"/>
    <row r="168" s="83" customFormat="1" x14ac:dyDescent="0.2"/>
    <row r="169" s="83" customFormat="1" x14ac:dyDescent="0.2"/>
    <row r="170" s="83" customFormat="1" x14ac:dyDescent="0.2"/>
    <row r="171" s="83" customFormat="1" x14ac:dyDescent="0.2"/>
    <row r="172" s="83" customFormat="1" x14ac:dyDescent="0.2"/>
    <row r="173" s="83" customFormat="1" x14ac:dyDescent="0.2"/>
    <row r="174" s="83" customFormat="1" x14ac:dyDescent="0.2"/>
    <row r="175" s="83" customFormat="1" x14ac:dyDescent="0.2"/>
    <row r="176" s="83" customFormat="1" x14ac:dyDescent="0.2"/>
  </sheetData>
  <mergeCells count="28">
    <mergeCell ref="M5:M6"/>
    <mergeCell ref="M8:M10"/>
    <mergeCell ref="M11:M13"/>
    <mergeCell ref="L5:L6"/>
    <mergeCell ref="L8:L10"/>
    <mergeCell ref="L11:L13"/>
    <mergeCell ref="C21:C22"/>
    <mergeCell ref="C5:C6"/>
    <mergeCell ref="E5:E6"/>
    <mergeCell ref="D5:D6"/>
    <mergeCell ref="C56:C57"/>
    <mergeCell ref="C35:C36"/>
    <mergeCell ref="D35:D36"/>
    <mergeCell ref="E35:E36"/>
    <mergeCell ref="D21:D22"/>
    <mergeCell ref="J5:J6"/>
    <mergeCell ref="J8:J9"/>
    <mergeCell ref="J10:J12"/>
    <mergeCell ref="F5:G5"/>
    <mergeCell ref="K5:K6"/>
    <mergeCell ref="I5:I6"/>
    <mergeCell ref="H5:H6"/>
    <mergeCell ref="H8:H9"/>
    <mergeCell ref="H10:H12"/>
    <mergeCell ref="I8:I9"/>
    <mergeCell ref="K8:K9"/>
    <mergeCell ref="I10:I12"/>
    <mergeCell ref="K10:K12"/>
  </mergeCells>
  <dataValidations count="1">
    <dataValidation type="list" allowBlank="1" showInputMessage="1" showErrorMessage="1" sqref="C84:G92" xr:uid="{00000000-0002-0000-0300-000000000000}">
      <formula1>"Ja, Nein, N/A"</formula1>
    </dataValidation>
  </dataValidations>
  <pageMargins left="0.7" right="0.7" top="0.78740157499999996" bottom="0.78740157499999996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4D45F-A6AB-40F8-BBC7-6D67621FB4B2}">
  <dimension ref="A1:O22"/>
  <sheetViews>
    <sheetView workbookViewId="0">
      <selection activeCell="J3" sqref="J3"/>
    </sheetView>
  </sheetViews>
  <sheetFormatPr baseColWidth="10" defaultRowHeight="15" x14ac:dyDescent="0.25"/>
  <cols>
    <col min="1" max="1" width="44.7109375" customWidth="1"/>
    <col min="9" max="9" width="17.42578125" customWidth="1"/>
    <col min="10" max="10" width="16.28515625" bestFit="1" customWidth="1"/>
    <col min="11" max="13" width="17" bestFit="1" customWidth="1"/>
    <col min="14" max="15" width="16.28515625" bestFit="1" customWidth="1"/>
  </cols>
  <sheetData>
    <row r="1" spans="1:15" ht="31.5" customHeight="1" x14ac:dyDescent="0.25">
      <c r="A1" s="192" t="s">
        <v>147</v>
      </c>
      <c r="B1" s="168">
        <v>45292</v>
      </c>
      <c r="C1" s="168">
        <v>45323</v>
      </c>
      <c r="D1" s="168">
        <v>45352</v>
      </c>
      <c r="E1" s="168">
        <v>45383</v>
      </c>
      <c r="F1" s="168">
        <v>45413</v>
      </c>
      <c r="G1" s="168">
        <v>45444</v>
      </c>
      <c r="I1" t="s">
        <v>148</v>
      </c>
      <c r="J1" s="168">
        <v>45292</v>
      </c>
      <c r="K1" s="168">
        <v>45323</v>
      </c>
      <c r="L1" s="168">
        <v>45352</v>
      </c>
      <c r="M1" s="168">
        <v>45383</v>
      </c>
      <c r="N1" s="168">
        <v>45413</v>
      </c>
      <c r="O1" s="168">
        <v>45444</v>
      </c>
    </row>
    <row r="2" spans="1:15" x14ac:dyDescent="0.25">
      <c r="A2" t="s">
        <v>100</v>
      </c>
      <c r="B2" s="166">
        <f>Vermögen!B64/Gesamtvermögen!$B62</f>
        <v>1.1462507746735569E-2</v>
      </c>
      <c r="C2" s="166">
        <f>Vermögen!B65/Gesamtvermögen!$B63</f>
        <v>1.1583755895538292E-2</v>
      </c>
      <c r="D2" s="166">
        <f>Vermögen!B66/Gesamtvermögen!$B64</f>
        <v>1.1710528458936312E-2</v>
      </c>
      <c r="E2" s="166">
        <f>Vermögen!B67/Gesamtvermögen!$B65</f>
        <v>1.1826030693331177E-2</v>
      </c>
      <c r="F2" s="166">
        <f>Vermögen!B68/Gesamtvermögen!$B66</f>
        <v>1.2056524413106088E-2</v>
      </c>
      <c r="G2" s="166">
        <f>Vermögen!B69/Gesamtvermögen!$B67</f>
        <v>1.1668749800568822E-2</v>
      </c>
      <c r="I2" t="s">
        <v>100</v>
      </c>
      <c r="J2" s="193" cm="1">
        <f t="array" ref="J2:O10">TRANSPOSE(Renditen!M64:U69)</f>
        <v>1.2985335000000001E-3</v>
      </c>
      <c r="K2" s="193">
        <v>1.3932071000000001E-3</v>
      </c>
      <c r="L2" s="193">
        <v>1.4115728000000001E-3</v>
      </c>
      <c r="M2" s="193">
        <v>1.4510154000000001E-3</v>
      </c>
      <c r="N2" s="193">
        <v>1.3617670000000001E-3</v>
      </c>
      <c r="O2" s="193">
        <v>1.3643104E-3</v>
      </c>
    </row>
    <row r="3" spans="1:15" x14ac:dyDescent="0.25">
      <c r="A3" t="s">
        <v>101</v>
      </c>
      <c r="B3" s="172">
        <f>Vermögen!C64/Gesamtvermögen!$B62</f>
        <v>0.15468390310481206</v>
      </c>
      <c r="C3" s="172">
        <f>Vermögen!C65/Gesamtvermögen!$B63</f>
        <v>0.14996544199169543</v>
      </c>
      <c r="D3" s="172">
        <f>Vermögen!C66/Gesamtvermögen!$B64</f>
        <v>0.15256613806447425</v>
      </c>
      <c r="E3" s="172">
        <f>Vermögen!C67/Gesamtvermögen!$B65</f>
        <v>0.1527755680931103</v>
      </c>
      <c r="F3" s="172">
        <f>Vermögen!C68/Gesamtvermögen!$B66</f>
        <v>0.15672903419042217</v>
      </c>
      <c r="G3" s="172">
        <f>Vermögen!C69/Gesamtvermögen!$B67</f>
        <v>0.15480586345087347</v>
      </c>
      <c r="I3" t="s">
        <v>101</v>
      </c>
      <c r="J3" s="193">
        <v>3.1738281000000001E-3</v>
      </c>
      <c r="K3" s="193">
        <v>4.8673643000000004E-3</v>
      </c>
      <c r="L3" s="193">
        <v>-2.2604343000000001E-3</v>
      </c>
      <c r="M3" s="193">
        <v>7.1203172000000002E-3</v>
      </c>
      <c r="N3" s="193">
        <v>8.9981521999999998E-3</v>
      </c>
      <c r="O3" s="193">
        <v>7.4846723E-3</v>
      </c>
    </row>
    <row r="4" spans="1:15" x14ac:dyDescent="0.25">
      <c r="A4" t="s">
        <v>102</v>
      </c>
      <c r="B4" s="172">
        <f>Vermögen!D64/Gesamtvermögen!$B62</f>
        <v>8.0207982601304642E-2</v>
      </c>
      <c r="C4" s="172">
        <f>Vermögen!D65/Gesamtvermögen!$B63</f>
        <v>7.8559989247696388E-2</v>
      </c>
      <c r="D4" s="172">
        <f>Vermögen!D66/Gesamtvermögen!$B64</f>
        <v>7.7621695050837755E-2</v>
      </c>
      <c r="E4" s="172">
        <f>Vermögen!D67/Gesamtvermögen!$B65</f>
        <v>7.5837657649286142E-2</v>
      </c>
      <c r="F4" s="172">
        <f>Vermögen!D68/Gesamtvermögen!$B66</f>
        <v>7.6315156143950805E-2</v>
      </c>
      <c r="G4" s="172">
        <f>Vermögen!D69/Gesamtvermögen!$B67</f>
        <v>7.7999558352719045E-2</v>
      </c>
      <c r="I4" t="s">
        <v>102</v>
      </c>
      <c r="J4" s="193">
        <v>-6.0847812999999997E-3</v>
      </c>
      <c r="K4" s="193">
        <v>-5.0030724E-3</v>
      </c>
      <c r="L4" s="193">
        <v>-2.2740408399999999E-2</v>
      </c>
      <c r="M4" s="193">
        <v>-9.1373002000000002E-3</v>
      </c>
      <c r="N4" s="193">
        <v>2.7379633800000001E-2</v>
      </c>
      <c r="O4" s="193">
        <v>2.7161273100000001E-2</v>
      </c>
    </row>
    <row r="5" spans="1:15" x14ac:dyDescent="0.25">
      <c r="A5" t="s">
        <v>103</v>
      </c>
      <c r="B5" s="172">
        <f>Vermögen!E64/Gesamtvermögen!$B62</f>
        <v>0.16997646134475658</v>
      </c>
      <c r="C5" s="172">
        <f>Vermögen!E65/Gesamtvermögen!$B63</f>
        <v>0.17503660298364412</v>
      </c>
      <c r="D5" s="172">
        <f>Vermögen!E66/Gesamtvermögen!$B64</f>
        <v>0.17375646971405162</v>
      </c>
      <c r="E5" s="172">
        <f>Vermögen!E67/Gesamtvermögen!$B65</f>
        <v>0.1720771653930106</v>
      </c>
      <c r="F5" s="172">
        <f>Vermögen!E68/Gesamtvermögen!$B66</f>
        <v>0.16641457704003521</v>
      </c>
      <c r="G5" s="172">
        <f>Vermögen!E69/Gesamtvermögen!$B67</f>
        <v>0.16851491426496557</v>
      </c>
      <c r="I5" t="s">
        <v>103</v>
      </c>
      <c r="J5" s="193">
        <v>4.3938238999999997E-3</v>
      </c>
      <c r="K5" s="193">
        <v>-1.7575451799999999E-2</v>
      </c>
      <c r="L5" s="193">
        <v>-2.0191998199999998E-2</v>
      </c>
      <c r="M5" s="193">
        <v>-5.2362754599999999E-2</v>
      </c>
      <c r="N5" s="193">
        <v>4.5542709000000001E-2</v>
      </c>
      <c r="O5" s="193">
        <v>2.3522883299999998E-2</v>
      </c>
    </row>
    <row r="6" spans="1:15" x14ac:dyDescent="0.25">
      <c r="A6" t="s">
        <v>104</v>
      </c>
      <c r="B6" s="172">
        <f>Vermögen!F64/Gesamtvermögen!$B62</f>
        <v>0.21532759925230957</v>
      </c>
      <c r="C6" s="172">
        <f>Vermögen!F65/Gesamtvermögen!$B63</f>
        <v>0.21196808941157744</v>
      </c>
      <c r="D6" s="172">
        <f>Vermögen!F66/Gesamtvermögen!$B64</f>
        <v>0.20977529439320172</v>
      </c>
      <c r="E6" s="172">
        <f>Vermögen!F67/Gesamtvermögen!$B65</f>
        <v>0.20329522993635271</v>
      </c>
      <c r="F6" s="172">
        <f>Vermögen!F68/Gesamtvermögen!$B66</f>
        <v>0.20158479198484119</v>
      </c>
      <c r="G6" s="172">
        <f>Vermögen!F69/Gesamtvermögen!$B67</f>
        <v>0.21049401498109999</v>
      </c>
      <c r="I6" t="s">
        <v>104</v>
      </c>
      <c r="J6" s="193">
        <v>2.5903230900000001E-2</v>
      </c>
      <c r="K6" s="193">
        <v>-2.07113214E-2</v>
      </c>
      <c r="L6" s="193">
        <v>-4.16254109E-2</v>
      </c>
      <c r="M6" s="193">
        <v>-2.8101496E-2</v>
      </c>
      <c r="N6" s="193">
        <v>7.8025342299999995E-2</v>
      </c>
      <c r="O6" s="193">
        <v>3.7668126099999998E-2</v>
      </c>
    </row>
    <row r="7" spans="1:15" x14ac:dyDescent="0.25">
      <c r="A7" t="s">
        <v>105</v>
      </c>
      <c r="B7" s="172">
        <f>Vermögen!G64/Gesamtvermögen!$B62</f>
        <v>9.5114092005664175E-2</v>
      </c>
      <c r="C7" s="172">
        <f>Vermögen!G65/Gesamtvermögen!$B63</f>
        <v>0.10048390917343591</v>
      </c>
      <c r="D7" s="172">
        <f>Vermögen!G66/Gesamtvermögen!$B64</f>
        <v>9.6956776885265536E-2</v>
      </c>
      <c r="E7" s="172">
        <f>Vermögen!G67/Gesamtvermögen!$B65</f>
        <v>9.8685299714490332E-2</v>
      </c>
      <c r="F7" s="172">
        <f>Vermögen!G68/Gesamtvermögen!$B66</f>
        <v>9.6394632243347531E-2</v>
      </c>
      <c r="G7" s="172">
        <f>Vermögen!G69/Gesamtvermögen!$B67</f>
        <v>9.6089419432929229E-2</v>
      </c>
      <c r="I7" t="s">
        <v>105</v>
      </c>
      <c r="J7" s="193">
        <v>2.9243758700000001E-2</v>
      </c>
      <c r="K7" s="193">
        <v>-4.3846854999999997E-2</v>
      </c>
      <c r="L7" s="193">
        <v>8.6347824000000007E-3</v>
      </c>
      <c r="M7" s="193">
        <v>-4.3844646600000002E-2</v>
      </c>
      <c r="N7" s="193">
        <v>3.1964828799999997E-2</v>
      </c>
      <c r="O7" s="193">
        <v>5.7535790999999996E-3</v>
      </c>
    </row>
    <row r="8" spans="1:15" x14ac:dyDescent="0.25">
      <c r="A8" t="s">
        <v>106</v>
      </c>
      <c r="B8" s="172">
        <f>Vermögen!H64/Gesamtvermögen!$B62</f>
        <v>9.7773452068413272E-2</v>
      </c>
      <c r="C8" s="172">
        <f>Vermögen!H65/Gesamtvermögen!$B63</f>
        <v>0.10033528659821195</v>
      </c>
      <c r="D8" s="172">
        <f>Vermögen!H66/Gesamtvermögen!$B64</f>
        <v>0.10330394331878671</v>
      </c>
      <c r="E8" s="172">
        <f>Vermögen!H67/Gesamtvermögen!$B65</f>
        <v>0.11008650799119034</v>
      </c>
      <c r="F8" s="172">
        <f>Vermögen!H68/Gesamtvermögen!$B66</f>
        <v>0.11174965152240786</v>
      </c>
      <c r="G8" s="172">
        <f>Vermögen!H69/Gesamtvermögen!$B67</f>
        <v>0.10341908204264574</v>
      </c>
      <c r="I8" t="s">
        <v>106</v>
      </c>
      <c r="J8" s="193">
        <v>3.3545648099999999E-2</v>
      </c>
      <c r="K8" s="193">
        <v>3.9184692E-3</v>
      </c>
      <c r="L8" s="193">
        <v>2.6013692000000001E-2</v>
      </c>
      <c r="M8" s="193">
        <v>-8.0575052300000005E-2</v>
      </c>
      <c r="N8" s="193">
        <v>0.1256519019</v>
      </c>
      <c r="O8" s="193">
        <v>5.4803164000000001E-2</v>
      </c>
    </row>
    <row r="9" spans="1:15" x14ac:dyDescent="0.25">
      <c r="A9" t="s">
        <v>107</v>
      </c>
      <c r="B9" s="172">
        <f>Vermögen!I64/Gesamtvermögen!$B62</f>
        <v>0.14180812964795003</v>
      </c>
      <c r="C9" s="172">
        <f>Vermögen!I65/Gesamtvermögen!$B63</f>
        <v>0.1389076238262498</v>
      </c>
      <c r="D9" s="172">
        <f>Vermögen!I66/Gesamtvermögen!$B64</f>
        <v>0.14076914339326971</v>
      </c>
      <c r="E9" s="172">
        <f>Vermögen!I67/Gesamtvermögen!$B65</f>
        <v>0.14233967664578431</v>
      </c>
      <c r="F9" s="172">
        <f>Vermögen!I68/Gesamtvermögen!$B66</f>
        <v>0.14532580191121611</v>
      </c>
      <c r="G9" s="172">
        <f>Vermögen!I69/Gesamtvermögen!$B67</f>
        <v>0.14287819009517755</v>
      </c>
      <c r="I9" t="s">
        <v>107</v>
      </c>
      <c r="J9" s="193">
        <v>5.456708E-4</v>
      </c>
      <c r="K9" s="193">
        <v>2.6255177000000002E-3</v>
      </c>
      <c r="L9" s="193">
        <v>3.0582999999999999E-4</v>
      </c>
      <c r="M9" s="193">
        <v>2.0033757000000002E-3</v>
      </c>
      <c r="N9" s="193">
        <v>1.9073259E-3</v>
      </c>
      <c r="O9" s="193">
        <v>-2.0200010000000001E-4</v>
      </c>
    </row>
    <row r="10" spans="1:15" x14ac:dyDescent="0.25">
      <c r="A10" t="s">
        <v>108</v>
      </c>
      <c r="B10" s="172">
        <f>Vermögen!J64/Gesamtvermögen!$B62</f>
        <v>3.3645872228054007E-2</v>
      </c>
      <c r="C10" s="172">
        <f>Vermögen!J65/Gesamtvermögen!$B63</f>
        <v>3.3159300871950778E-2</v>
      </c>
      <c r="D10" s="172">
        <f>Vermögen!J66/Gesamtvermögen!$B64</f>
        <v>3.3540010721176419E-2</v>
      </c>
      <c r="E10" s="172">
        <f>Vermögen!J67/Gesamtvermögen!$B65</f>
        <v>3.3076863883444073E-2</v>
      </c>
      <c r="F10" s="172">
        <f>Vermögen!J68/Gesamtvermögen!$B66</f>
        <v>3.3429830550673049E-2</v>
      </c>
      <c r="G10" s="172">
        <f>Vermögen!J69/Gesamtvermögen!$B67</f>
        <v>3.4130207579020674E-2</v>
      </c>
      <c r="I10" t="s">
        <v>108</v>
      </c>
      <c r="J10" s="193">
        <v>2.93746917E-2</v>
      </c>
      <c r="K10" s="193">
        <v>-2.8217004699999999E-2</v>
      </c>
      <c r="L10" s="193">
        <v>-5.80726456E-2</v>
      </c>
      <c r="M10" s="193">
        <v>-4.5716279899999997E-2</v>
      </c>
      <c r="N10" s="193">
        <v>8.8559761099999995E-2</v>
      </c>
      <c r="O10" s="193">
        <v>8.14109742E-2</v>
      </c>
    </row>
    <row r="11" spans="1:15" x14ac:dyDescent="0.25">
      <c r="I11" t="s">
        <v>146</v>
      </c>
      <c r="J11" s="174">
        <f>Gesamtvermögen!AF63</f>
        <v>1.217923186E-2</v>
      </c>
      <c r="K11" s="171">
        <f>Gesamtvermögen!AF64</f>
        <v>-1.0578578297999998E-2</v>
      </c>
      <c r="L11" s="171">
        <f>Gesamtvermögen!AF65</f>
        <v>-1.0937705548E-2</v>
      </c>
      <c r="M11" s="171">
        <f>Gesamtvermögen!AF66</f>
        <v>-2.3455889043999999E-2</v>
      </c>
      <c r="N11" s="171">
        <f>Gesamtvermögen!AF67</f>
        <v>4.0249503203999996E-2</v>
      </c>
      <c r="O11" s="171">
        <f>Gesamtvermögen!AF68</f>
        <v>2.1388795714E-2</v>
      </c>
    </row>
    <row r="13" spans="1:15" x14ac:dyDescent="0.25">
      <c r="I13" t="s">
        <v>149</v>
      </c>
      <c r="J13" s="168">
        <v>45292</v>
      </c>
      <c r="K13" s="168">
        <v>45323</v>
      </c>
      <c r="L13" s="168">
        <v>45352</v>
      </c>
      <c r="M13" s="168">
        <v>45383</v>
      </c>
      <c r="N13" s="168">
        <v>45413</v>
      </c>
      <c r="O13" s="168">
        <v>45444</v>
      </c>
    </row>
    <row r="14" spans="1:15" x14ac:dyDescent="0.25">
      <c r="I14" t="s">
        <v>100</v>
      </c>
      <c r="J14" s="26" cm="1">
        <f t="array" ref="J14:O22">TRANSPOSE(Renditen!B64:J69)</f>
        <v>5.6459463736069002E-4</v>
      </c>
      <c r="K14" s="26">
        <v>4.683230654039E-4</v>
      </c>
      <c r="L14" s="26">
        <v>-8.7992775407764003E-4</v>
      </c>
      <c r="M14" s="26">
        <v>-1.0584951649959E-3</v>
      </c>
      <c r="N14" s="26">
        <v>-7.3826560298296E-4</v>
      </c>
      <c r="O14" s="26">
        <v>-3.2351342733568998E-3</v>
      </c>
    </row>
    <row r="15" spans="1:15" x14ac:dyDescent="0.25">
      <c r="I15" t="s">
        <v>101</v>
      </c>
      <c r="J15" s="26">
        <v>1.1999999999999999E-3</v>
      </c>
      <c r="K15" s="26">
        <v>6.7999999999999996E-3</v>
      </c>
      <c r="L15" s="26">
        <v>-9.2800000000000001E-3</v>
      </c>
      <c r="M15" s="26">
        <v>5.1999999999999998E-3</v>
      </c>
      <c r="N15" s="26">
        <v>1.9800000000000002E-2</v>
      </c>
      <c r="O15" s="26">
        <v>1.3899999999999999E-2</v>
      </c>
    </row>
    <row r="16" spans="1:15" x14ac:dyDescent="0.25">
      <c r="I16" t="s">
        <v>102</v>
      </c>
      <c r="J16" s="26">
        <v>1.6226221272131001E-2</v>
      </c>
      <c r="K16" s="26">
        <v>-2.2182168651814001E-2</v>
      </c>
      <c r="L16" s="26">
        <v>-3.3377356522492997E-2</v>
      </c>
      <c r="M16" s="26">
        <v>-1.3986601838664001E-2</v>
      </c>
      <c r="N16" s="26">
        <v>5.5257397798286999E-2</v>
      </c>
      <c r="O16" s="26">
        <v>4.3428888633556997E-2</v>
      </c>
    </row>
    <row r="17" spans="2:15" x14ac:dyDescent="0.25">
      <c r="I17" t="s">
        <v>103</v>
      </c>
      <c r="J17" s="26">
        <v>4.4000000000000003E-3</v>
      </c>
      <c r="K17" s="26">
        <v>-1.7600000000000001E-2</v>
      </c>
      <c r="L17" s="26">
        <v>-2.0199999999999999E-2</v>
      </c>
      <c r="M17" s="26">
        <v>-5.2400000000000002E-2</v>
      </c>
      <c r="N17" s="26">
        <v>4.5499999999999999E-2</v>
      </c>
      <c r="O17" s="26">
        <v>2.35E-2</v>
      </c>
    </row>
    <row r="18" spans="2:15" x14ac:dyDescent="0.25">
      <c r="I18" t="s">
        <v>104</v>
      </c>
      <c r="J18" s="26">
        <v>2.6200000000000001E-2</v>
      </c>
      <c r="K18" s="26">
        <v>-2.06E-2</v>
      </c>
      <c r="L18" s="26">
        <v>-4.1200000000000001E-2</v>
      </c>
      <c r="M18" s="26">
        <v>-2.8400000000000002E-2</v>
      </c>
      <c r="N18" s="26">
        <v>7.8100000000000003E-2</v>
      </c>
      <c r="O18" s="26">
        <v>3.7999999999999999E-2</v>
      </c>
    </row>
    <row r="19" spans="2:15" x14ac:dyDescent="0.25">
      <c r="I19" t="s">
        <v>105</v>
      </c>
      <c r="J19" s="26">
        <v>2.9700000000000001E-2</v>
      </c>
      <c r="K19" s="26">
        <v>-4.5100000000000001E-2</v>
      </c>
      <c r="L19" s="26">
        <v>7.0000000000000001E-3</v>
      </c>
      <c r="M19" s="26">
        <v>-4.2900000000000001E-2</v>
      </c>
      <c r="N19" s="26">
        <v>2.92E-2</v>
      </c>
      <c r="O19" s="26">
        <v>4.4000000000000003E-3</v>
      </c>
    </row>
    <row r="20" spans="2:15" x14ac:dyDescent="0.25">
      <c r="I20" t="s">
        <v>106</v>
      </c>
      <c r="J20" s="26">
        <v>-3.2145346399999997E-2</v>
      </c>
      <c r="K20" s="26">
        <v>1.8918505499999998E-2</v>
      </c>
      <c r="L20" s="26">
        <v>5.4319823199999999E-2</v>
      </c>
      <c r="M20" s="26">
        <v>-5.3529210999999997E-3</v>
      </c>
      <c r="N20" s="26">
        <v>-4.4498088900000003E-2</v>
      </c>
      <c r="O20" s="26">
        <v>-4.0692858599999999E-2</v>
      </c>
    </row>
    <row r="21" spans="2:15" x14ac:dyDescent="0.25">
      <c r="I21" t="s">
        <v>107</v>
      </c>
      <c r="J21" s="26">
        <v>2.8999999999999998E-3</v>
      </c>
      <c r="K21" s="26">
        <v>2.8999999999999998E-3</v>
      </c>
      <c r="L21" s="26">
        <v>4.0000000000000002E-4</v>
      </c>
      <c r="M21" s="26">
        <v>4.0000000000000002E-4</v>
      </c>
      <c r="N21" s="26">
        <v>1.508E-2</v>
      </c>
      <c r="O21" s="26">
        <v>7.1000000000000004E-3</v>
      </c>
    </row>
    <row r="22" spans="2:15" x14ac:dyDescent="0.25">
      <c r="B22" s="166"/>
      <c r="I22" t="s">
        <v>108</v>
      </c>
      <c r="J22" s="26">
        <v>-3.1199999999999999E-3</v>
      </c>
      <c r="K22" s="26">
        <v>1E-3</v>
      </c>
      <c r="L22" s="26">
        <v>-2.4299999999999999E-2</v>
      </c>
      <c r="M22" s="26">
        <v>-9.7000000000000003E-3</v>
      </c>
      <c r="N22" s="26">
        <v>5.4100000000000002E-2</v>
      </c>
      <c r="O22" s="26">
        <v>2.9999999999999997E-4</v>
      </c>
    </row>
  </sheetData>
  <phoneticPr fontId="28" type="noConversion"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D8F2D-1995-4EF6-B94F-8328A8184C4D}">
  <dimension ref="A1:AG75"/>
  <sheetViews>
    <sheetView topLeftCell="Y48" workbookViewId="0">
      <selection activeCell="AF63" sqref="AF63"/>
    </sheetView>
  </sheetViews>
  <sheetFormatPr baseColWidth="10" defaultRowHeight="15" x14ac:dyDescent="0.25"/>
  <cols>
    <col min="1" max="1" width="19.7109375" style="177" customWidth="1"/>
    <col min="2" max="2" width="25.85546875" customWidth="1"/>
    <col min="3" max="3" width="17.5703125" customWidth="1"/>
    <col min="4" max="4" width="16.42578125" customWidth="1"/>
    <col min="5" max="5" width="16" customWidth="1"/>
    <col min="12" max="12" width="23.140625" bestFit="1" customWidth="1"/>
    <col min="13" max="20" width="14.42578125" bestFit="1" customWidth="1"/>
    <col min="21" max="21" width="29.5703125" bestFit="1" customWidth="1"/>
    <col min="22" max="22" width="35.140625" bestFit="1" customWidth="1"/>
    <col min="23" max="31" width="25" bestFit="1" customWidth="1"/>
    <col min="32" max="32" width="40.140625" bestFit="1" customWidth="1"/>
    <col min="33" max="33" width="45.7109375" bestFit="1" customWidth="1"/>
  </cols>
  <sheetData>
    <row r="1" spans="1:32" s="177" customFormat="1" x14ac:dyDescent="0.25">
      <c r="A1" s="177" t="s">
        <v>111</v>
      </c>
      <c r="B1" s="183" t="s">
        <v>112</v>
      </c>
      <c r="C1" s="183" t="s">
        <v>113</v>
      </c>
      <c r="D1" s="183" t="s">
        <v>114</v>
      </c>
      <c r="E1" s="183" t="s">
        <v>115</v>
      </c>
      <c r="F1" s="183" t="s">
        <v>116</v>
      </c>
      <c r="G1" s="183" t="s">
        <v>117</v>
      </c>
      <c r="H1" s="183" t="s">
        <v>118</v>
      </c>
      <c r="I1" s="183" t="s">
        <v>119</v>
      </c>
      <c r="J1" s="183" t="s">
        <v>120</v>
      </c>
      <c r="K1" s="183" t="s">
        <v>121</v>
      </c>
      <c r="L1" s="184" t="s">
        <v>122</v>
      </c>
      <c r="M1" s="184" t="s">
        <v>123</v>
      </c>
      <c r="N1" s="184" t="s">
        <v>124</v>
      </c>
      <c r="O1" s="184" t="s">
        <v>125</v>
      </c>
      <c r="P1" s="184" t="s">
        <v>126</v>
      </c>
      <c r="Q1" s="184" t="s">
        <v>127</v>
      </c>
      <c r="R1" s="184" t="s">
        <v>128</v>
      </c>
      <c r="S1" s="184" t="s">
        <v>129</v>
      </c>
      <c r="T1" s="184" t="s">
        <v>130</v>
      </c>
      <c r="U1" s="185" t="s">
        <v>131</v>
      </c>
      <c r="W1" s="183" t="s">
        <v>133</v>
      </c>
      <c r="X1" s="183" t="s">
        <v>134</v>
      </c>
      <c r="Y1" s="183" t="s">
        <v>135</v>
      </c>
      <c r="Z1" s="183" t="s">
        <v>136</v>
      </c>
      <c r="AA1" s="183" t="s">
        <v>137</v>
      </c>
      <c r="AB1" s="183" t="s">
        <v>138</v>
      </c>
      <c r="AC1" s="183" t="s">
        <v>139</v>
      </c>
      <c r="AD1" s="183" t="s">
        <v>140</v>
      </c>
      <c r="AE1" s="183" t="s">
        <v>141</v>
      </c>
      <c r="AF1" s="183" t="s">
        <v>142</v>
      </c>
    </row>
    <row r="2" spans="1:32" x14ac:dyDescent="0.25">
      <c r="A2" s="178">
        <f>Vermögen!A4</f>
        <v>43465</v>
      </c>
      <c r="B2" s="169">
        <f>SUM(Vermögen!B4:J4)</f>
        <v>973813300</v>
      </c>
      <c r="C2" s="166">
        <f>Vermögen!B4/Gesamtvermögen!$B2</f>
        <v>1.5403363252483818E-2</v>
      </c>
      <c r="D2" s="166">
        <f>Vermögen!C4/Gesamtvermögen!$B2</f>
        <v>0.19721439417596781</v>
      </c>
      <c r="E2" s="166">
        <f>Vermögen!D4/Gesamtvermögen!$B2</f>
        <v>9.9890810692357557E-2</v>
      </c>
      <c r="F2" s="166">
        <f>Vermögen!E4/Gesamtvermögen!$B2</f>
        <v>0.14062243758634227</v>
      </c>
      <c r="G2" s="166">
        <f>Vermögen!F4/Gesamtvermögen!$B2</f>
        <v>0.15840818768854359</v>
      </c>
      <c r="H2" s="166">
        <f>Vermögen!G4/Gesamtvermögen!$B2</f>
        <v>0.11532498067134635</v>
      </c>
      <c r="I2" s="166">
        <f>Vermögen!H4/Gesamtvermögen!$B2</f>
        <v>7.8994916171303067E-2</v>
      </c>
      <c r="J2" s="166">
        <f>Vermögen!I4/Gesamtvermögen!$B2</f>
        <v>0.1566706883136634</v>
      </c>
      <c r="K2" s="166">
        <f>Vermögen!J4/Gesamtvermögen!$B2</f>
        <v>3.7470221447992134E-2</v>
      </c>
      <c r="L2" s="164"/>
      <c r="M2" s="164"/>
      <c r="N2" s="164"/>
      <c r="O2" s="164"/>
      <c r="P2" s="164"/>
      <c r="Q2" s="164"/>
      <c r="R2" s="164"/>
      <c r="S2" s="164"/>
      <c r="T2" s="164"/>
      <c r="U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</row>
    <row r="3" spans="1:32" x14ac:dyDescent="0.25">
      <c r="A3" s="179">
        <f>Vermögen!A5</f>
        <v>43496</v>
      </c>
      <c r="B3" s="169">
        <f>SUM(Vermögen!B5:J5)</f>
        <v>1012151487.37018</v>
      </c>
      <c r="C3" s="166">
        <f>Vermögen!B5/Gesamtvermögen!$B3</f>
        <v>1.4822879961359841E-2</v>
      </c>
      <c r="D3" s="166">
        <f>Vermögen!C5/Gesamtvermögen!$B3</f>
        <v>0.19088279018587165</v>
      </c>
      <c r="E3" s="166">
        <f>Vermögen!D5/Gesamtvermögen!$B3</f>
        <v>0.10042705235976311</v>
      </c>
      <c r="F3" s="166">
        <f>Vermögen!E5/Gesamtvermögen!$B3</f>
        <v>0.14468549207045756</v>
      </c>
      <c r="G3" s="166">
        <f>Vermögen!F5/Gesamtvermögen!$B3</f>
        <v>0.16322898504972103</v>
      </c>
      <c r="H3" s="166">
        <f>Vermögen!G5/Gesamtvermögen!$B3</f>
        <v>0.12143102444016729</v>
      </c>
      <c r="I3" s="166">
        <f>Vermögen!H5/Gesamtvermögen!$B3</f>
        <v>7.6478769257092821E-2</v>
      </c>
      <c r="J3" s="166">
        <f>Vermögen!I5/Gesamtvermögen!$B3</f>
        <v>0.15124883291705396</v>
      </c>
      <c r="K3" s="166">
        <f>Vermögen!J5/Gesamtvermögen!$B3</f>
        <v>3.6794173758512738E-2</v>
      </c>
      <c r="L3" s="171">
        <f>C2*Renditen!B4</f>
        <v>3.0806726504967637E-6</v>
      </c>
      <c r="M3" s="171">
        <f>D2*Renditen!C4</f>
        <v>1.183286365055807E-3</v>
      </c>
      <c r="N3" s="171">
        <f>E2*Renditen!D4</f>
        <v>4.4899678594831028E-3</v>
      </c>
      <c r="O3" s="171">
        <f>F2*Renditen!E4</f>
        <v>9.7591971684921532E-3</v>
      </c>
      <c r="P3" s="171">
        <f>G2*Renditen!F4</f>
        <v>1.1246981325886593E-2</v>
      </c>
      <c r="Q3" s="171">
        <f>H2*Renditen!G4</f>
        <v>1.0886678175375095E-2</v>
      </c>
      <c r="R3" s="171">
        <f>I2*Renditen!H4</f>
        <v>4.9475608497777759E-4</v>
      </c>
      <c r="S3" s="171">
        <f>J2*Renditen!I4</f>
        <v>5.3268034026645553E-4</v>
      </c>
      <c r="T3" s="171">
        <f>K2*Renditen!J4</f>
        <v>7.7250710812381976E-4</v>
      </c>
      <c r="U3" s="171">
        <f>SUM(L3:T3)</f>
        <v>3.93691351003113E-2</v>
      </c>
      <c r="W3" s="174">
        <f>Renditen!M4*Strategie!$B$4</f>
        <v>-1.5096376000000001E-5</v>
      </c>
      <c r="X3" s="175">
        <f>Strategie!$B$5*Renditen!N4</f>
        <v>6.5744210000000009E-4</v>
      </c>
      <c r="Y3" s="176">
        <f>Strategie!$B$6*Renditen!O4</f>
        <v>6.0515221E-4</v>
      </c>
      <c r="Z3" s="174">
        <f>Strategie!$B$7*Renditen!P4</f>
        <v>8.3534383319999999E-3</v>
      </c>
      <c r="AA3" s="174">
        <f>Strategie!$B$8*Renditen!Q4</f>
        <v>1.1390438895999999E-2</v>
      </c>
      <c r="AB3" s="174">
        <f>Strategie!$B$9*Renditen!R4</f>
        <v>1.1340986783999999E-2</v>
      </c>
      <c r="AC3" s="174">
        <f>Strategie!$B$10*Renditen!S4</f>
        <v>9.0043369920000012E-3</v>
      </c>
      <c r="AD3" s="174">
        <f>Strategie!$B$11*Renditen!T4</f>
        <v>5.1203318400000009E-4</v>
      </c>
      <c r="AE3" s="174">
        <f>Strategie!$B$12*Renditen!U4</f>
        <v>4.0862187560000004E-3</v>
      </c>
      <c r="AF3" s="174">
        <f>SUM(W3:AE3)</f>
        <v>4.5934950878000001E-2</v>
      </c>
    </row>
    <row r="4" spans="1:32" x14ac:dyDescent="0.25">
      <c r="A4" s="179">
        <f>Vermögen!A6</f>
        <v>43524</v>
      </c>
      <c r="B4" s="169">
        <f>SUM(Vermögen!B6:J6)</f>
        <v>1026659902.2009461</v>
      </c>
      <c r="C4" s="166">
        <f>Vermögen!B6/Gesamtvermögen!$B4</f>
        <v>1.4591487860668292E-2</v>
      </c>
      <c r="D4" s="166">
        <f>Vermögen!C6/Gesamtvermögen!$B4</f>
        <v>0.18816647982048945</v>
      </c>
      <c r="E4" s="166">
        <f>Vermögen!D6/Gesamtvermögen!$B4</f>
        <v>9.9661032412248649E-2</v>
      </c>
      <c r="F4" s="166">
        <f>Vermögen!E6/Gesamtvermögen!$B4</f>
        <v>0.14874587318879245</v>
      </c>
      <c r="G4" s="166">
        <f>Vermögen!F6/Gesamtvermögen!$B4</f>
        <v>0.16591087846602276</v>
      </c>
      <c r="H4" s="166">
        <f>Vermögen!G6/Gesamtvermögen!$B4</f>
        <v>0.12048117777233475</v>
      </c>
      <c r="I4" s="166">
        <f>Vermögen!H6/Gesamtvermögen!$B4</f>
        <v>7.5546124326748482E-2</v>
      </c>
      <c r="J4" s="166">
        <f>Vermögen!I6/Gesamtvermögen!$B4</f>
        <v>0.14961841380653707</v>
      </c>
      <c r="K4" s="166">
        <f>Vermögen!J6/Gesamtvermögen!$B4</f>
        <v>3.7278532346157987E-2</v>
      </c>
      <c r="L4" s="171">
        <f>C3*Renditen!B5</f>
        <v>-2.2234319942039761E-5</v>
      </c>
      <c r="M4" s="171">
        <f>D3*Renditen!C5</f>
        <v>-1.9088279018587166E-5</v>
      </c>
      <c r="N4" s="171">
        <f>E3*Renditen!D5</f>
        <v>6.6254447069944572E-4</v>
      </c>
      <c r="O4" s="171">
        <f>F3*Renditen!E5</f>
        <v>6.1925390606155832E-3</v>
      </c>
      <c r="P4" s="171">
        <f>G3*Renditen!F5</f>
        <v>5.060098536541352E-3</v>
      </c>
      <c r="Q4" s="171">
        <f>H3*Renditen!G5</f>
        <v>7.7715855641707075E-4</v>
      </c>
      <c r="R4" s="171">
        <f>I3*Renditen!H5</f>
        <v>1.5025078661688477E-4</v>
      </c>
      <c r="S4" s="171">
        <f>J3*Renditen!I5</f>
        <v>5.1424603191798344E-4</v>
      </c>
      <c r="T4" s="171">
        <f>K3*Renditen!J5</f>
        <v>1.0187177407058779E-3</v>
      </c>
      <c r="U4" s="171">
        <f t="shared" ref="U4:U67" si="0">SUM(L4:T4)</f>
        <v>1.4334232584553571E-2</v>
      </c>
      <c r="W4" s="174">
        <f>Renditen!M5*Strategie!$B$4</f>
        <v>-1.3290692000000001E-5</v>
      </c>
      <c r="X4" s="175">
        <f>Strategie!$B$5*Renditen!N5</f>
        <v>1.8287108000000001E-4</v>
      </c>
      <c r="Y4" s="176">
        <f>Strategie!$B$6*Renditen!O5</f>
        <v>-3.4903096000000002E-4</v>
      </c>
      <c r="Z4" s="174">
        <f>Strategie!$B$7*Renditen!P5</f>
        <v>5.1370935959999999E-3</v>
      </c>
      <c r="AA4" s="174">
        <f>Strategie!$B$8*Renditen!Q5</f>
        <v>4.9626554560000006E-3</v>
      </c>
      <c r="AB4" s="174">
        <f>Strategie!$B$9*Renditen!R5</f>
        <v>7.667571239999999E-4</v>
      </c>
      <c r="AC4" s="174">
        <f>Strategie!$B$10*Renditen!S5</f>
        <v>2.4961766560000001E-3</v>
      </c>
      <c r="AD4" s="174">
        <f>Strategie!$B$11*Renditen!T5</f>
        <v>4.6413822399999998E-4</v>
      </c>
      <c r="AE4" s="174">
        <f>Strategie!$B$12*Renditen!U5</f>
        <v>6.8657028E-5</v>
      </c>
      <c r="AF4" s="174">
        <f t="shared" ref="AF4:AF67" si="1">SUM(W4:AE4)</f>
        <v>1.3716027512E-2</v>
      </c>
    </row>
    <row r="5" spans="1:32" x14ac:dyDescent="0.25">
      <c r="A5" s="179">
        <f>Vermögen!A7</f>
        <v>43555</v>
      </c>
      <c r="B5" s="169">
        <f>SUM(Vermögen!B7:J7)</f>
        <v>1036745977.2406061</v>
      </c>
      <c r="C5" s="166">
        <f>Vermögen!B7/Gesamtvermögen!$B5</f>
        <v>1.4436528699041658E-2</v>
      </c>
      <c r="D5" s="166">
        <f>Vermögen!C7/Gesamtvermögen!$B5</f>
        <v>0.18887005360371775</v>
      </c>
      <c r="E5" s="166">
        <f>Vermögen!D7/Gesamtvermögen!$B5</f>
        <v>9.9330824886756999E-2</v>
      </c>
      <c r="F5" s="166">
        <f>Vermögen!E7/Gesamtvermögen!$B5</f>
        <v>0.15098125543533503</v>
      </c>
      <c r="G5" s="166">
        <f>Vermögen!F7/Gesamtvermögen!$B5</f>
        <v>0.16658052531120043</v>
      </c>
      <c r="H5" s="166">
        <f>Vermögen!G7/Gesamtvermögen!$B5</f>
        <v>0.12028740030713066</v>
      </c>
      <c r="I5" s="166">
        <f>Vermögen!H7/Gesamtvermögen!$B5</f>
        <v>7.3973886284580931E-2</v>
      </c>
      <c r="J5" s="166">
        <f>Vermögen!I7/Gesamtvermögen!$B5</f>
        <v>0.14866659146824218</v>
      </c>
      <c r="K5" s="166">
        <f>Vermögen!J7/Gesamtvermögen!$B5</f>
        <v>3.6872934003994384E-2</v>
      </c>
      <c r="L5" s="171">
        <f>C4*Renditen!B6</f>
        <v>-1.3132339074601463E-5</v>
      </c>
      <c r="M5" s="171">
        <f>D4*Renditen!C6</f>
        <v>2.5590641255586566E-3</v>
      </c>
      <c r="N5" s="171">
        <f>E4*Renditen!D6</f>
        <v>6.4563476796051849E-4</v>
      </c>
      <c r="O5" s="171">
        <f>F4*Renditen!E6</f>
        <v>3.7186468297198115E-3</v>
      </c>
      <c r="P5" s="171">
        <f>G4*Renditen!F6</f>
        <v>2.3061612106777163E-3</v>
      </c>
      <c r="Q5" s="171">
        <f>H4*Renditen!G6</f>
        <v>9.8794565773314491E-4</v>
      </c>
      <c r="R5" s="171">
        <f>I4*Renditen!H6</f>
        <v>-8.4550646685029528E-4</v>
      </c>
      <c r="S5" s="171">
        <f>J4*Renditen!I6</f>
        <v>5.0870260694222595E-4</v>
      </c>
      <c r="T5" s="171">
        <f>K4*Renditen!J6</f>
        <v>-4.335259895357142E-5</v>
      </c>
      <c r="U5" s="171">
        <f t="shared" si="0"/>
        <v>9.8241637937136039E-3</v>
      </c>
      <c r="W5" s="174">
        <f>Renditen!M6*Strategie!$B$4</f>
        <v>-1.4477092E-5</v>
      </c>
      <c r="X5" s="175">
        <f>Strategie!$B$5*Renditen!N6</f>
        <v>1.3855054800000002E-3</v>
      </c>
      <c r="Y5" s="176">
        <f>Strategie!$B$6*Renditen!O6</f>
        <v>1.61102811E-3</v>
      </c>
      <c r="Z5" s="174">
        <f>Strategie!$B$7*Renditen!P6</f>
        <v>3.0286580520000003E-3</v>
      </c>
      <c r="AA5" s="174">
        <f>Strategie!$B$8*Renditen!Q6</f>
        <v>2.1785575360000003E-3</v>
      </c>
      <c r="AB5" s="174">
        <f>Strategie!$B$9*Renditen!R6</f>
        <v>9.705963239999999E-4</v>
      </c>
      <c r="AC5" s="174">
        <f>Strategie!$B$10*Renditen!S6</f>
        <v>3.9616276800000005E-4</v>
      </c>
      <c r="AD5" s="174">
        <f>Strategie!$B$11*Renditen!T6</f>
        <v>6.4598887999999996E-4</v>
      </c>
      <c r="AE5" s="174">
        <f>Strategie!$B$12*Renditen!U6</f>
        <v>1.4704813319999998E-3</v>
      </c>
      <c r="AF5" s="174">
        <f t="shared" si="1"/>
        <v>1.1672501390000001E-2</v>
      </c>
    </row>
    <row r="6" spans="1:32" x14ac:dyDescent="0.25">
      <c r="A6" s="179">
        <f>Vermögen!A8</f>
        <v>43585</v>
      </c>
      <c r="B6" s="169">
        <f>SUM(Vermögen!B8:J8)</f>
        <v>1056938625.0315734</v>
      </c>
      <c r="C6" s="166">
        <f>Vermögen!B8/Gesamtvermögen!$B6</f>
        <v>1.4186210364957931E-2</v>
      </c>
      <c r="D6" s="166">
        <f>Vermögen!C8/Gesamtvermögen!$B6</f>
        <v>0.18459477845573311</v>
      </c>
      <c r="E6" s="166">
        <f>Vermögen!D8/Gesamtvermögen!$B6</f>
        <v>9.7545511948420358E-2</v>
      </c>
      <c r="F6" s="166">
        <f>Vermögen!E8/Gesamtvermögen!$B6</f>
        <v>0.15459823080154322</v>
      </c>
      <c r="G6" s="166">
        <f>Vermögen!F8/Gesamtvermögen!$B6</f>
        <v>0.1693293788242691</v>
      </c>
      <c r="H6" s="166">
        <f>Vermögen!G8/Gesamtvermögen!$B6</f>
        <v>0.1232516523020018</v>
      </c>
      <c r="I6" s="166">
        <f>Vermögen!H8/Gesamtvermögen!$B6</f>
        <v>7.4152928913196456E-2</v>
      </c>
      <c r="J6" s="166">
        <f>Vermögen!I8/Gesamtvermögen!$B6</f>
        <v>0.14632214895011433</v>
      </c>
      <c r="K6" s="166">
        <f>Vermögen!J8/Gesamtvermögen!$B6</f>
        <v>3.6019159439763582E-2</v>
      </c>
      <c r="L6" s="171">
        <f>C5*Renditen!B7</f>
        <v>2.5985751658274986E-5</v>
      </c>
      <c r="M6" s="171">
        <f>D5*Renditen!C7</f>
        <v>-6.7993219297338386E-4</v>
      </c>
      <c r="N6" s="171">
        <f>E5*Renditen!D7</f>
        <v>1.1457595402887758E-4</v>
      </c>
      <c r="O6" s="171">
        <f>F5*Renditen!E7</f>
        <v>6.6280771136112077E-3</v>
      </c>
      <c r="P6" s="171">
        <f>G5*Renditen!F7</f>
        <v>6.0468730687965756E-3</v>
      </c>
      <c r="Q6" s="171">
        <f>H5*Renditen!G7</f>
        <v>5.3648180536980273E-3</v>
      </c>
      <c r="R6" s="171">
        <f>I5*Renditen!H7</f>
        <v>1.623315390780591E-3</v>
      </c>
      <c r="S6" s="171">
        <f>J5*Renditen!I7</f>
        <v>5.0546641099202339E-4</v>
      </c>
      <c r="T6" s="171">
        <f>K5*Renditen!J7</f>
        <v>-1.5223125829035044E-4</v>
      </c>
      <c r="U6" s="171">
        <f t="shared" si="0"/>
        <v>1.9476948292301843E-2</v>
      </c>
      <c r="W6" s="174">
        <f>Renditen!M7*Strategie!$B$4</f>
        <v>-1.3343824E-5</v>
      </c>
      <c r="X6" s="175">
        <f>Strategie!$B$5*Renditen!N7</f>
        <v>-2.1168822000000001E-4</v>
      </c>
      <c r="Y6" s="176">
        <f>Strategie!$B$6*Renditen!O7</f>
        <v>-4.6166126999999999E-4</v>
      </c>
      <c r="Z6" s="174">
        <f>Strategie!$B$7*Renditen!P7</f>
        <v>5.2731427920000001E-3</v>
      </c>
      <c r="AA6" s="174">
        <f>Strategie!$B$8*Renditen!Q7</f>
        <v>5.826834096E-3</v>
      </c>
      <c r="AB6" s="174">
        <f>Strategie!$B$9*Renditen!R7</f>
        <v>5.3684288639999998E-3</v>
      </c>
      <c r="AC6" s="174">
        <f>Strategie!$B$10*Renditen!S7</f>
        <v>7.2173220159999999E-3</v>
      </c>
      <c r="AD6" s="174">
        <f>Strategie!$B$11*Renditen!T7</f>
        <v>4.9223614400000003E-4</v>
      </c>
      <c r="AE6" s="174">
        <f>Strategie!$B$12*Renditen!U7</f>
        <v>-5.1084289199999997E-4</v>
      </c>
      <c r="AF6" s="174">
        <f t="shared" si="1"/>
        <v>2.2980427705999999E-2</v>
      </c>
    </row>
    <row r="7" spans="1:32" x14ac:dyDescent="0.25">
      <c r="A7" s="179">
        <f>Vermögen!A9</f>
        <v>43616</v>
      </c>
      <c r="B7" s="169">
        <f>SUM(Vermögen!B9:J9)</f>
        <v>1033782040.5880787</v>
      </c>
      <c r="C7" s="166">
        <f>Vermögen!B9/Gesamtvermögen!$B7</f>
        <v>1.4483674076869419E-2</v>
      </c>
      <c r="D7" s="166">
        <f>Vermögen!C9/Gesamtvermögen!$B7</f>
        <v>0.19152287692679326</v>
      </c>
      <c r="E7" s="166">
        <f>Vermögen!D9/Gesamtvermögen!$B7</f>
        <v>9.9479742560192846E-2</v>
      </c>
      <c r="F7" s="166">
        <f>Vermögen!E9/Gesamtvermögen!$B7</f>
        <v>0.15550061961999267</v>
      </c>
      <c r="G7" s="166">
        <f>Vermögen!F9/Gesamtvermögen!$B7</f>
        <v>0.16271768274314474</v>
      </c>
      <c r="H7" s="166">
        <f>Vermögen!G9/Gesamtvermögen!$B7</f>
        <v>0.11542742565738844</v>
      </c>
      <c r="I7" s="166">
        <f>Vermögen!H9/Gesamtvermögen!$B7</f>
        <v>7.4836251905929685E-2</v>
      </c>
      <c r="J7" s="166">
        <f>Vermögen!I9/Gesamtvermögen!$B7</f>
        <v>0.15010838536125237</v>
      </c>
      <c r="K7" s="166">
        <f>Vermögen!J9/Gesamtvermögen!$B7</f>
        <v>3.5923341148436518E-2</v>
      </c>
      <c r="L7" s="171">
        <f>C6*Renditen!B8</f>
        <v>-1.9860694510941104E-5</v>
      </c>
      <c r="M7" s="171">
        <f>D6*Renditen!C8</f>
        <v>2.7320027211448499E-3</v>
      </c>
      <c r="N7" s="171">
        <f>E6*Renditen!D8</f>
        <v>-2.4528199610802871E-4</v>
      </c>
      <c r="O7" s="171">
        <f>F6*Renditen!E8</f>
        <v>-2.504491338985E-3</v>
      </c>
      <c r="P7" s="171">
        <f>G6*Renditen!F8</f>
        <v>-1.0176695667338573E-2</v>
      </c>
      <c r="Q7" s="171">
        <f>H6*Renditen!G8</f>
        <v>-1.0353138793368152E-2</v>
      </c>
      <c r="R7" s="171">
        <f>I6*Renditen!H8</f>
        <v>-9.5627267124633682E-4</v>
      </c>
      <c r="S7" s="171">
        <f>J6*Renditen!I8</f>
        <v>4.9749530643038869E-4</v>
      </c>
      <c r="T7" s="171">
        <f>K6*Renditen!J8</f>
        <v>-8.8286671882812663E-4</v>
      </c>
      <c r="U7" s="171">
        <f t="shared" si="0"/>
        <v>-2.1909109852809916E-2</v>
      </c>
      <c r="W7" s="174">
        <f>Renditen!M8*Strategie!$B$4</f>
        <v>-1.3560826E-5</v>
      </c>
      <c r="X7" s="175">
        <f>Strategie!$B$5*Renditen!N8</f>
        <v>1.4077045400000001E-3</v>
      </c>
      <c r="Y7" s="176">
        <f>Strategie!$B$6*Renditen!O8</f>
        <v>1.4759133300000001E-3</v>
      </c>
      <c r="Z7" s="174">
        <f>Strategie!$B$7*Renditen!P8</f>
        <v>-1.9492192679999999E-3</v>
      </c>
      <c r="AA7" s="174">
        <f>Strategie!$B$8*Renditen!Q8</f>
        <v>-9.5613906720000003E-3</v>
      </c>
      <c r="AB7" s="174">
        <f>Strategie!$B$9*Renditen!R8</f>
        <v>-1.0143742656E-2</v>
      </c>
      <c r="AC7" s="174">
        <f>Strategie!$B$10*Renditen!S8</f>
        <v>-4.21726032E-3</v>
      </c>
      <c r="AD7" s="174">
        <f>Strategie!$B$11*Renditen!T8</f>
        <v>5.9823651200000005E-4</v>
      </c>
      <c r="AE7" s="174">
        <f>Strategie!$B$12*Renditen!U8</f>
        <v>-1.5625E-4</v>
      </c>
      <c r="AF7" s="174">
        <f t="shared" si="1"/>
        <v>-2.255956936E-2</v>
      </c>
    </row>
    <row r="8" spans="1:32" x14ac:dyDescent="0.25">
      <c r="A8" s="179">
        <f>Vermögen!A10</f>
        <v>43646</v>
      </c>
      <c r="B8" s="169">
        <f>SUM(Vermögen!B10:J10)</f>
        <v>1056708364.1572293</v>
      </c>
      <c r="C8" s="166">
        <f>Vermögen!B10/Gesamtvermögen!$B8</f>
        <v>1.4095755503116267E-2</v>
      </c>
      <c r="D8" s="166">
        <f>Vermögen!C10/Gesamtvermögen!$B8</f>
        <v>0.18815454433491816</v>
      </c>
      <c r="E8" s="166">
        <f>Vermögen!D10/Gesamtvermögen!$B8</f>
        <v>0.1002595425719722</v>
      </c>
      <c r="F8" s="166">
        <f>Vermögen!E10/Gesamtvermögen!$B8</f>
        <v>0.15787727739408974</v>
      </c>
      <c r="G8" s="166">
        <f>Vermögen!F10/Gesamtvermögen!$B8</f>
        <v>0.16813369295626379</v>
      </c>
      <c r="H8" s="166">
        <f>Vermögen!G10/Gesamtvermögen!$B8</f>
        <v>0.11618659254516321</v>
      </c>
      <c r="I8" s="166">
        <f>Vermögen!H10/Gesamtvermögen!$B8</f>
        <v>7.2671360144274E-2</v>
      </c>
      <c r="J8" s="166">
        <f>Vermögen!I10/Gesamtvermögen!$B8</f>
        <v>0.14735093239493366</v>
      </c>
      <c r="K8" s="166">
        <f>Vermögen!J10/Gesamtvermögen!$B8</f>
        <v>3.5270302155268912E-2</v>
      </c>
      <c r="L8" s="171">
        <f>C7*Renditen!B9</f>
        <v>-7.5315105199720971E-5</v>
      </c>
      <c r="M8" s="171">
        <f>D7*Renditen!C9</f>
        <v>8.0439608309253164E-4</v>
      </c>
      <c r="N8" s="171">
        <f>E7*Renditen!D9</f>
        <v>3.0032693928033149E-3</v>
      </c>
      <c r="O8" s="171">
        <f>F7*Renditen!E9</f>
        <v>5.877923421635723E-3</v>
      </c>
      <c r="P8" s="171">
        <f>G7*Renditen!F9</f>
        <v>9.1447337701647344E-3</v>
      </c>
      <c r="Q8" s="171">
        <f>H7*Renditen!G9</f>
        <v>3.3358526014985257E-3</v>
      </c>
      <c r="R8" s="171">
        <f>I7*Renditen!H9</f>
        <v>-5.5324921858140126E-4</v>
      </c>
      <c r="S8" s="171">
        <f>J7*Renditen!I9</f>
        <v>5.1036851022825806E-4</v>
      </c>
      <c r="T8" s="171">
        <f>K7*Renditen!J9</f>
        <v>1.2915524879601384E-4</v>
      </c>
      <c r="U8" s="171">
        <f t="shared" si="0"/>
        <v>2.2177134704437978E-2</v>
      </c>
      <c r="W8" s="174">
        <f>Renditen!M9*Strategie!$B$4</f>
        <v>-1.3066792E-5</v>
      </c>
      <c r="X8" s="175">
        <f>Strategie!$B$5*Renditen!N9</f>
        <v>3.7577032000000001E-4</v>
      </c>
      <c r="Y8" s="176">
        <f>Strategie!$B$6*Renditen!O9</f>
        <v>1.10999194E-3</v>
      </c>
      <c r="Z8" s="174">
        <f>Strategie!$B$7*Renditen!P9</f>
        <v>4.4991658440000004E-3</v>
      </c>
      <c r="AA8" s="174">
        <f>Strategie!$B$8*Renditen!Q9</f>
        <v>8.9669543519999995E-3</v>
      </c>
      <c r="AB8" s="174">
        <f>Strategie!$B$9*Renditen!R9</f>
        <v>3.5793417E-3</v>
      </c>
      <c r="AC8" s="174">
        <f>Strategie!$B$10*Renditen!S9</f>
        <v>3.652502056E-3</v>
      </c>
      <c r="AD8" s="174">
        <f>Strategie!$B$11*Renditen!T9</f>
        <v>5.5806724799999997E-4</v>
      </c>
      <c r="AE8" s="174">
        <f>Strategie!$B$12*Renditen!U9</f>
        <v>3.1983702400000002E-4</v>
      </c>
      <c r="AF8" s="174">
        <f t="shared" si="1"/>
        <v>2.3048563692000004E-2</v>
      </c>
    </row>
    <row r="9" spans="1:32" x14ac:dyDescent="0.25">
      <c r="A9" s="179">
        <f>Vermögen!A11</f>
        <v>43677</v>
      </c>
      <c r="B9" s="169">
        <f>SUM(Vermögen!B11:J11)</f>
        <v>1066055943.5233998</v>
      </c>
      <c r="C9" s="166">
        <f>Vermögen!B11/Gesamtvermögen!$B9</f>
        <v>1.396517253933573E-2</v>
      </c>
      <c r="D9" s="166">
        <f>Vermögen!C11/Gesamtvermögen!$B9</f>
        <v>0.18932095603277216</v>
      </c>
      <c r="E9" s="166">
        <f>Vermögen!D11/Gesamtvermögen!$B9</f>
        <v>0.10044426605808039</v>
      </c>
      <c r="F9" s="166">
        <f>Vermögen!E11/Gesamtvermögen!$B9</f>
        <v>0.15765099789208081</v>
      </c>
      <c r="G9" s="166">
        <f>Vermögen!F11/Gesamtvermögen!$B9</f>
        <v>0.1682926959640331</v>
      </c>
      <c r="H9" s="166">
        <f>Vermögen!G11/Gesamtvermögen!$B9</f>
        <v>0.11546726115830533</v>
      </c>
      <c r="I9" s="166">
        <f>Vermögen!H11/Gesamtvermögen!$B9</f>
        <v>7.3118071892280784E-2</v>
      </c>
      <c r="J9" s="166">
        <f>Vermögen!I11/Gesamtvermögen!$B9</f>
        <v>0.14655550428713404</v>
      </c>
      <c r="K9" s="166">
        <f>Vermögen!J11/Gesamtvermögen!$B9</f>
        <v>3.5185074175977722E-2</v>
      </c>
      <c r="L9" s="171">
        <f>C8*Renditen!B10</f>
        <v>-7.0478777515581339E-6</v>
      </c>
      <c r="M9" s="171">
        <f>D8*Renditen!C10</f>
        <v>2.8411336194572642E-3</v>
      </c>
      <c r="N9" s="171">
        <f>E8*Renditen!D10</f>
        <v>1.0732474920703216E-3</v>
      </c>
      <c r="O9" s="171">
        <f>F8*Renditen!E10</f>
        <v>1.1682918527162643E-3</v>
      </c>
      <c r="P9" s="171">
        <f>G8*Renditen!F10</f>
        <v>1.6477101909713851E-3</v>
      </c>
      <c r="Q9" s="171">
        <f>H8*Renditen!G10</f>
        <v>3.0208514061742434E-4</v>
      </c>
      <c r="R9" s="171">
        <f>I8*Renditen!H10</f>
        <v>1.0935098649683783E-3</v>
      </c>
      <c r="S9" s="171">
        <f>J8*Renditen!I10</f>
        <v>5.0099317014277436E-4</v>
      </c>
      <c r="T9" s="171">
        <f>K8*Renditen!J10</f>
        <v>2.2601709505518179E-4</v>
      </c>
      <c r="U9" s="171">
        <f t="shared" si="0"/>
        <v>8.8459405482474354E-3</v>
      </c>
      <c r="W9" s="174">
        <f>Renditen!M10*Strategie!$B$4</f>
        <v>-1.3544169999999999E-5</v>
      </c>
      <c r="X9" s="175">
        <f>Strategie!$B$5*Renditen!N10</f>
        <v>1.57527568E-3</v>
      </c>
      <c r="Y9" s="176">
        <f>Strategie!$B$6*Renditen!O10</f>
        <v>4.9914369000000002E-4</v>
      </c>
      <c r="Z9" s="174">
        <f>Strategie!$B$7*Renditen!P10</f>
        <v>8.7234436799999999E-4</v>
      </c>
      <c r="AA9" s="174">
        <f>Strategie!$B$8*Renditen!Q10</f>
        <v>1.5780643840000001E-3</v>
      </c>
      <c r="AB9" s="174">
        <f>Strategie!$B$9*Renditen!R10</f>
        <v>3.5618325599999999E-4</v>
      </c>
      <c r="AC9" s="174">
        <f>Strategie!$B$10*Renditen!S10</f>
        <v>2.1589735840000001E-3</v>
      </c>
      <c r="AD9" s="174">
        <f>Strategie!$B$11*Renditen!T10</f>
        <v>6.2290044799999996E-4</v>
      </c>
      <c r="AE9" s="174">
        <f>Strategie!$B$12*Renditen!U10</f>
        <v>3.5165723599999999E-4</v>
      </c>
      <c r="AF9" s="174">
        <f t="shared" si="1"/>
        <v>8.0009984760000003E-3</v>
      </c>
    </row>
    <row r="10" spans="1:32" x14ac:dyDescent="0.25">
      <c r="A10" s="179">
        <f>Vermögen!A12</f>
        <v>43708</v>
      </c>
      <c r="B10" s="169">
        <f>SUM(Vermögen!B12:J12)</f>
        <v>1062029529.1677657</v>
      </c>
      <c r="C10" s="166">
        <f>Vermögen!B12/Gesamtvermögen!$B10</f>
        <v>1.4009707061945115E-2</v>
      </c>
      <c r="D10" s="166">
        <f>Vermögen!C12/Gesamtvermögen!$B10</f>
        <v>0.19452363194824521</v>
      </c>
      <c r="E10" s="166">
        <f>Vermögen!D12/Gesamtvermögen!$B10</f>
        <v>0.10125402781865193</v>
      </c>
      <c r="F10" s="166">
        <f>Vermögen!E12/Gesamtvermögen!$B10</f>
        <v>0.15820121687380634</v>
      </c>
      <c r="G10" s="166">
        <f>Vermögen!F12/Gesamtvermögen!$B10</f>
        <v>0.16512979330604852</v>
      </c>
      <c r="H10" s="166">
        <f>Vermögen!G12/Gesamtvermögen!$B10</f>
        <v>0.11008659355995572</v>
      </c>
      <c r="I10" s="166">
        <f>Vermögen!H12/Gesamtvermögen!$B10</f>
        <v>7.344844847167134E-2</v>
      </c>
      <c r="J10" s="166">
        <f>Vermögen!I12/Gesamtvermögen!$B10</f>
        <v>0.14761130998869701</v>
      </c>
      <c r="K10" s="166">
        <f>Vermögen!J12/Gesamtvermögen!$B10</f>
        <v>3.5735270970978943E-2</v>
      </c>
      <c r="L10" s="171">
        <f>C9*Renditen!B11</f>
        <v>-8.3791035236014367E-6</v>
      </c>
      <c r="M10" s="171">
        <f>D9*Renditen!C11</f>
        <v>4.4679745623734226E-3</v>
      </c>
      <c r="N10" s="171">
        <f>E9*Renditen!D11</f>
        <v>4.2733279551428183E-4</v>
      </c>
      <c r="O10" s="171">
        <f>F9*Renditen!E11</f>
        <v>-4.7295299367624237E-5</v>
      </c>
      <c r="P10" s="171">
        <f>G9*Renditen!F11</f>
        <v>-3.7865856591907444E-3</v>
      </c>
      <c r="Q10" s="171">
        <f>H9*Renditen!G11</f>
        <v>-5.7964565101469275E-3</v>
      </c>
      <c r="R10" s="171">
        <f>I9*Renditen!H11</f>
        <v>5.2967228481657066E-5</v>
      </c>
      <c r="S10" s="171">
        <f>J9*Renditen!I11</f>
        <v>4.9828871457625575E-4</v>
      </c>
      <c r="T10" s="171">
        <f>K9*Renditen!J11</f>
        <v>4.1522732279465429E-4</v>
      </c>
      <c r="U10" s="171">
        <f t="shared" si="0"/>
        <v>-3.7769259484886249E-3</v>
      </c>
      <c r="W10" s="174">
        <f>Renditen!M11*Strategie!$B$4</f>
        <v>-1.4196264E-5</v>
      </c>
      <c r="X10" s="175">
        <f>Strategie!$B$5*Renditen!N11</f>
        <v>1.6225066999999999E-3</v>
      </c>
      <c r="Y10" s="176">
        <f>Strategie!$B$6*Renditen!O11</f>
        <v>2.6039819600000001E-3</v>
      </c>
      <c r="Z10" s="174">
        <f>Strategie!$B$7*Renditen!P11</f>
        <v>-3.5111423999999996E-5</v>
      </c>
      <c r="AA10" s="174">
        <f>Strategie!$B$8*Renditen!Q11</f>
        <v>-3.5788991359999999E-3</v>
      </c>
      <c r="AB10" s="174">
        <f>Strategie!$B$9*Renditen!R11</f>
        <v>-5.9141696399999995E-3</v>
      </c>
      <c r="AC10" s="174">
        <f>Strategie!$B$10*Renditen!S11</f>
        <v>-8.3825920000000001E-5</v>
      </c>
      <c r="AD10" s="174">
        <f>Strategie!$B$11*Renditen!T11</f>
        <v>5.9910724800000007E-4</v>
      </c>
      <c r="AE10" s="174">
        <f>Strategie!$B$12*Renditen!U11</f>
        <v>7.2923970800000001E-4</v>
      </c>
      <c r="AF10" s="174">
        <f t="shared" si="1"/>
        <v>-4.0713667680000003E-3</v>
      </c>
    </row>
    <row r="11" spans="1:32" x14ac:dyDescent="0.25">
      <c r="A11" s="179">
        <f>Vermögen!A13</f>
        <v>43738</v>
      </c>
      <c r="B11" s="169">
        <f>SUM(Vermögen!B13:J13)</f>
        <v>1070973738.2193226</v>
      </c>
      <c r="C11" s="166">
        <f>Vermögen!B13/Gesamtvermögen!$B11</f>
        <v>1.3880201926479315E-2</v>
      </c>
      <c r="D11" s="166">
        <f>Vermögen!C13/Gesamtvermögen!$B11</f>
        <v>0.18921470065088056</v>
      </c>
      <c r="E11" s="166">
        <f>Vermögen!D13/Gesamtvermögen!$B11</f>
        <v>9.9613046234125632E-2</v>
      </c>
      <c r="F11" s="166">
        <f>Vermögen!E13/Gesamtvermögen!$B11</f>
        <v>0.15910769961598992</v>
      </c>
      <c r="G11" s="166">
        <f>Vermögen!F13/Gesamtvermögen!$B11</f>
        <v>0.16725498149958298</v>
      </c>
      <c r="H11" s="166">
        <f>Vermögen!G13/Gesamtvermögen!$B11</f>
        <v>0.11212563960862529</v>
      </c>
      <c r="I11" s="166">
        <f>Vermögen!H13/Gesamtvermögen!$B11</f>
        <v>7.5896201973147906E-2</v>
      </c>
      <c r="J11" s="166">
        <f>Vermögen!I13/Gesamtvermögen!$B11</f>
        <v>0.14687622503875064</v>
      </c>
      <c r="K11" s="166">
        <f>Vermögen!J13/Gesamtvermögen!$B11</f>
        <v>3.6031303452417916E-2</v>
      </c>
      <c r="L11" s="171">
        <f>C10*Renditen!B12</f>
        <v>-1.2608736355750604E-5</v>
      </c>
      <c r="M11" s="171">
        <f>D10*Renditen!C12</f>
        <v>-3.7154013702114831E-3</v>
      </c>
      <c r="N11" s="171">
        <f>E10*Renditen!D12</f>
        <v>-8.0205960984391868E-4</v>
      </c>
      <c r="O11" s="171">
        <f>F10*Renditen!E12</f>
        <v>2.2464572796080501E-3</v>
      </c>
      <c r="P11" s="171">
        <f>G10*Renditen!F12</f>
        <v>3.5337775767494382E-3</v>
      </c>
      <c r="Q11" s="171">
        <f>H10*Renditen!G12</f>
        <v>2.9833466854747998E-3</v>
      </c>
      <c r="R11" s="171">
        <f>I10*Renditen!H12</f>
        <v>3.0869367614740242E-3</v>
      </c>
      <c r="S11" s="171">
        <f>J10*Renditen!I12</f>
        <v>5.0187845396156981E-4</v>
      </c>
      <c r="T11" s="171">
        <f>K10*Renditen!J12</f>
        <v>5.9948121014904564E-4</v>
      </c>
      <c r="U11" s="171">
        <f t="shared" si="0"/>
        <v>8.421808251005778E-3</v>
      </c>
      <c r="W11" s="174">
        <f>Renditen!M12*Strategie!$B$4</f>
        <v>-1.4901885999999999E-5</v>
      </c>
      <c r="X11" s="175">
        <f>Strategie!$B$5*Renditen!N12</f>
        <v>-2.2148394200000002E-3</v>
      </c>
      <c r="Y11" s="176">
        <f>Strategie!$B$6*Renditen!O12</f>
        <v>-8.8296000999999998E-4</v>
      </c>
      <c r="Z11" s="174">
        <f>Strategie!$B$7*Renditen!P12</f>
        <v>1.7134016280000001E-3</v>
      </c>
      <c r="AA11" s="174">
        <f>Strategie!$B$8*Renditen!Q12</f>
        <v>3.4485851200000001E-3</v>
      </c>
      <c r="AB11" s="174">
        <f>Strategie!$B$9*Renditen!R12</f>
        <v>3.2423853000000001E-3</v>
      </c>
      <c r="AC11" s="174">
        <f>Strategie!$B$10*Renditen!S12</f>
        <v>2.370738928E-3</v>
      </c>
      <c r="AD11" s="174">
        <f>Strategie!$B$11*Renditen!T12</f>
        <v>9.4792950400000007E-4</v>
      </c>
      <c r="AE11" s="174">
        <f>Strategie!$B$12*Renditen!U12</f>
        <v>1.0054107240000001E-3</v>
      </c>
      <c r="AF11" s="174">
        <f t="shared" si="1"/>
        <v>9.6157498880000015E-3</v>
      </c>
    </row>
    <row r="12" spans="1:32" x14ac:dyDescent="0.25">
      <c r="A12" s="179">
        <f>Vermögen!A14</f>
        <v>43769</v>
      </c>
      <c r="B12" s="169">
        <f>SUM(Vermögen!B14:J14)</f>
        <v>1075820785.4222498</v>
      </c>
      <c r="C12" s="166">
        <f>Vermögen!B14/Gesamtvermögen!$B12</f>
        <v>1.3807993128138961E-2</v>
      </c>
      <c r="D12" s="166">
        <f>Vermögen!C14/Gesamtvermögen!$B12</f>
        <v>0.18529190101749665</v>
      </c>
      <c r="E12" s="166">
        <f>Vermögen!D14/Gesamtvermögen!$B12</f>
        <v>9.9167303094824563E-2</v>
      </c>
      <c r="F12" s="166">
        <f>Vermögen!E14/Gesamtvermögen!$B12</f>
        <v>0.15973717146242078</v>
      </c>
      <c r="G12" s="166">
        <f>Vermögen!F14/Gesamtvermögen!$B12</f>
        <v>0.16929864795231878</v>
      </c>
      <c r="H12" s="166">
        <f>Vermögen!G14/Gesamtvermögen!$B12</f>
        <v>0.11521464308683459</v>
      </c>
      <c r="I12" s="166">
        <f>Vermögen!H14/Gesamtvermögen!$B12</f>
        <v>7.4741333991633352E-2</v>
      </c>
      <c r="J12" s="166">
        <f>Vermögen!I14/Gesamtvermögen!$B12</f>
        <v>0.14671161209681804</v>
      </c>
      <c r="K12" s="166">
        <f>Vermögen!J14/Gesamtvermögen!$B12</f>
        <v>3.6029394169514221E-2</v>
      </c>
      <c r="L12" s="171">
        <f>C11*Renditen!B13</f>
        <v>-9.7161413485355202E-6</v>
      </c>
      <c r="M12" s="171">
        <f>D11*Renditen!C13</f>
        <v>-3.0841996206093527E-3</v>
      </c>
      <c r="N12" s="171">
        <f>E11*Renditen!D13</f>
        <v>3.071413226416674E-6</v>
      </c>
      <c r="O12" s="171">
        <f>F11*Renditen!E13</f>
        <v>1.3524154467359144E-3</v>
      </c>
      <c r="P12" s="171">
        <f>G11*Renditen!F13</f>
        <v>2.8098836891929939E-3</v>
      </c>
      <c r="Q12" s="171">
        <f>H11*Renditen!G13</f>
        <v>3.610445595397734E-3</v>
      </c>
      <c r="R12" s="171">
        <f>I11*Renditen!H13</f>
        <v>-8.1660126129644284E-4</v>
      </c>
      <c r="S12" s="171">
        <f>J11*Renditen!I13</f>
        <v>4.9937916513175212E-4</v>
      </c>
      <c r="T12" s="171">
        <f>K11*Renditen!J13</f>
        <v>1.6115370174321471E-4</v>
      </c>
      <c r="U12" s="171">
        <f t="shared" si="0"/>
        <v>4.525831988173694E-3</v>
      </c>
      <c r="W12" s="174">
        <f>Renditen!M13*Strategie!$B$4</f>
        <v>-1.6026686000000002E-5</v>
      </c>
      <c r="X12" s="175">
        <f>Strategie!$B$5*Renditen!N13</f>
        <v>-1.56774916E-3</v>
      </c>
      <c r="Y12" s="176">
        <f>Strategie!$B$6*Renditen!O13</f>
        <v>-6.7994627000000007E-4</v>
      </c>
      <c r="Z12" s="174">
        <f>Strategie!$B$7*Renditen!P13</f>
        <v>1.019395692E-3</v>
      </c>
      <c r="AA12" s="174">
        <f>Strategie!$B$8*Renditen!Q13</f>
        <v>2.6972958400000003E-3</v>
      </c>
      <c r="AB12" s="174">
        <f>Strategie!$B$9*Renditen!R13</f>
        <v>3.7557469439999996E-3</v>
      </c>
      <c r="AC12" s="174">
        <f>Strategie!$B$10*Renditen!S13</f>
        <v>1.5106044720000001E-3</v>
      </c>
      <c r="AD12" s="174">
        <f>Strategie!$B$11*Renditen!T13</f>
        <v>5.6832003200000007E-4</v>
      </c>
      <c r="AE12" s="174">
        <f>Strategie!$B$12*Renditen!U13</f>
        <v>6.7942996799999998E-4</v>
      </c>
      <c r="AF12" s="174">
        <f t="shared" si="1"/>
        <v>7.9670708319999999E-3</v>
      </c>
    </row>
    <row r="13" spans="1:32" x14ac:dyDescent="0.25">
      <c r="A13" s="179">
        <f>Vermögen!A15</f>
        <v>43799</v>
      </c>
      <c r="B13" s="169">
        <f>SUM(Vermögen!B15:J15)</f>
        <v>1089851034.1935418</v>
      </c>
      <c r="C13" s="166">
        <f>Vermögen!B15/Gesamtvermögen!$B13</f>
        <v>1.3624783182228584E-2</v>
      </c>
      <c r="D13" s="166">
        <f>Vermögen!C15/Gesamtvermögen!$B13</f>
        <v>0.18436978927270711</v>
      </c>
      <c r="E13" s="166">
        <f>Vermögen!D15/Gesamtvermögen!$B13</f>
        <v>9.7314350649281997E-2</v>
      </c>
      <c r="F13" s="166">
        <f>Vermögen!E15/Gesamtvermögen!$B13</f>
        <v>0.16201700909450015</v>
      </c>
      <c r="G13" s="166">
        <f>Vermögen!F15/Gesamtvermögen!$B13</f>
        <v>0.17216617285961949</v>
      </c>
      <c r="H13" s="166">
        <f>Vermögen!G15/Gesamtvermögen!$B13</f>
        <v>0.11500521386221291</v>
      </c>
      <c r="I13" s="166">
        <f>Vermögen!H15/Gesamtvermögen!$B13</f>
        <v>7.4716067238562459E-2</v>
      </c>
      <c r="J13" s="166">
        <f>Vermögen!I15/Gesamtvermögen!$B13</f>
        <v>0.14531531113307272</v>
      </c>
      <c r="K13" s="166">
        <f>Vermögen!J15/Gesamtvermögen!$B13</f>
        <v>3.5471302707814636E-2</v>
      </c>
      <c r="L13" s="171">
        <f>C12*Renditen!B14</f>
        <v>-5.5231972512555848E-6</v>
      </c>
      <c r="M13" s="171">
        <f>D12*Renditen!C14</f>
        <v>1.4823352081399733E-3</v>
      </c>
      <c r="N13" s="171">
        <f>E12*Renditen!D14</f>
        <v>-5.8383349271411806E-4</v>
      </c>
      <c r="O13" s="171">
        <f>F12*Renditen!E14</f>
        <v>4.3927722152165716E-3</v>
      </c>
      <c r="P13" s="171">
        <f>G12*Renditen!F14</f>
        <v>5.1128191681600269E-3</v>
      </c>
      <c r="Q13" s="171">
        <f>H12*Renditen!G14</f>
        <v>1.2904040025725474E-3</v>
      </c>
      <c r="R13" s="171">
        <f>I12*Renditen!H14</f>
        <v>9.4913811507653357E-4</v>
      </c>
      <c r="S13" s="171">
        <f>J12*Renditen!I14</f>
        <v>4.9881948112918137E-4</v>
      </c>
      <c r="T13" s="171">
        <f>K12*Renditen!J14</f>
        <v>-9.5494709548980908E-5</v>
      </c>
      <c r="U13" s="171">
        <f t="shared" si="0"/>
        <v>1.3041436790780481E-2</v>
      </c>
      <c r="W13" s="174">
        <f>Renditen!M14*Strategie!$B$4</f>
        <v>-1.5447418E-5</v>
      </c>
      <c r="X13" s="175">
        <f>Strategie!$B$5*Renditen!N14</f>
        <v>7.6749436000000005E-4</v>
      </c>
      <c r="Y13" s="176">
        <f>Strategie!$B$6*Renditen!O14</f>
        <v>-6.3015328000000002E-4</v>
      </c>
      <c r="Z13" s="174">
        <f>Strategie!$B$7*Renditen!P14</f>
        <v>3.2979683159999997E-3</v>
      </c>
      <c r="AA13" s="174">
        <f>Strategie!$B$8*Renditen!Q14</f>
        <v>4.8422225279999998E-3</v>
      </c>
      <c r="AB13" s="174">
        <f>Strategie!$B$9*Renditen!R14</f>
        <v>1.3649385599999999E-3</v>
      </c>
      <c r="AC13" s="174">
        <f>Strategie!$B$10*Renditen!S14</f>
        <v>2.978716488E-3</v>
      </c>
      <c r="AD13" s="174">
        <f>Strategie!$B$11*Renditen!T14</f>
        <v>6.0667672000000005E-4</v>
      </c>
      <c r="AE13" s="174">
        <f>Strategie!$B$12*Renditen!U14</f>
        <v>-3.9443264800000002E-4</v>
      </c>
      <c r="AF13" s="174">
        <f t="shared" si="1"/>
        <v>1.2817983626E-2</v>
      </c>
    </row>
    <row r="14" spans="1:32" x14ac:dyDescent="0.25">
      <c r="A14" s="179">
        <f>Vermögen!A16</f>
        <v>43830</v>
      </c>
      <c r="B14" s="169">
        <f>SUM(Vermögen!B16:J16)</f>
        <v>1100225158.7284684</v>
      </c>
      <c r="C14" s="166">
        <f>Vermögen!B16/Gesamtvermögen!$B14</f>
        <v>1.3447727114660125E-2</v>
      </c>
      <c r="D14" s="166">
        <f>Vermögen!C16/Gesamtvermögen!$B14</f>
        <v>0.18053108899914433</v>
      </c>
      <c r="E14" s="166">
        <f>Vermögen!D16/Gesamtvermögen!$B14</f>
        <v>9.8110096398057026E-2</v>
      </c>
      <c r="F14" s="166">
        <f>Vermögen!E16/Gesamtvermögen!$B14</f>
        <v>0.16252755033134345</v>
      </c>
      <c r="G14" s="166">
        <f>Vermögen!F16/Gesamtvermögen!$B14</f>
        <v>0.17397071245348369</v>
      </c>
      <c r="H14" s="166">
        <f>Vermögen!G16/Gesamtvermögen!$B14</f>
        <v>0.1186599251637746</v>
      </c>
      <c r="I14" s="166">
        <f>Vermögen!H16/Gesamtvermögen!$B14</f>
        <v>7.1432560767318742E-2</v>
      </c>
      <c r="J14" s="166">
        <f>Vermögen!I16/Gesamtvermögen!$B14</f>
        <v>0.14626263608322315</v>
      </c>
      <c r="K14" s="166">
        <f>Vermögen!J16/Gesamtvermögen!$B14</f>
        <v>3.5057702688995052E-2</v>
      </c>
      <c r="L14" s="171">
        <f>C13*Renditen!B15</f>
        <v>-4.9049219456022904E-5</v>
      </c>
      <c r="M14" s="171">
        <f>D13*Renditen!C15</f>
        <v>-2.1202525766361316E-3</v>
      </c>
      <c r="N14" s="171">
        <f>E13*Renditen!D15</f>
        <v>1.7296406814162201E-3</v>
      </c>
      <c r="O14" s="171">
        <f>F13*Renditen!E15</f>
        <v>2.0576160155001519E-3</v>
      </c>
      <c r="P14" s="171">
        <f>G13*Renditen!F15</f>
        <v>3.4605400744783517E-3</v>
      </c>
      <c r="Q14" s="171">
        <f>H13*Renditen!G15</f>
        <v>4.7842168966680566E-3</v>
      </c>
      <c r="R14" s="171">
        <f>I13*Renditen!H15</f>
        <v>-2.6035509011714877E-3</v>
      </c>
      <c r="S14" s="171">
        <f>J13*Renditen!I15</f>
        <v>2.3395765092424706E-3</v>
      </c>
      <c r="T14" s="171">
        <f>K13*Renditen!J15</f>
        <v>-7.9891133666123767E-5</v>
      </c>
      <c r="U14" s="171">
        <f t="shared" si="0"/>
        <v>9.5188463463754848E-3</v>
      </c>
      <c r="W14" s="174">
        <f>Renditen!M15*Strategie!$B$4</f>
        <v>-1.4779634000000001E-5</v>
      </c>
      <c r="X14" s="175">
        <f>Strategie!$B$5*Renditen!N15</f>
        <v>-1.1543362600000002E-3</v>
      </c>
      <c r="Y14" s="176">
        <f>Strategie!$B$6*Renditen!O15</f>
        <v>-8.7916347000000004E-4</v>
      </c>
      <c r="Z14" s="174">
        <f>Strategie!$B$7*Renditen!P15</f>
        <v>1.5278188679999998E-3</v>
      </c>
      <c r="AA14" s="174">
        <f>Strategie!$B$8*Renditen!Q15</f>
        <v>3.2504682239999998E-3</v>
      </c>
      <c r="AB14" s="174">
        <f>Strategie!$B$9*Renditen!R15</f>
        <v>4.9525266239999997E-3</v>
      </c>
      <c r="AC14" s="174">
        <f>Strategie!$B$10*Renditen!S15</f>
        <v>6.4488421599999998E-4</v>
      </c>
      <c r="AD14" s="174">
        <f>Strategie!$B$11*Renditen!T15</f>
        <v>1.488150144E-3</v>
      </c>
      <c r="AE14" s="174">
        <f>Strategie!$B$12*Renditen!U15</f>
        <v>-1.3723434800000001E-4</v>
      </c>
      <c r="AF14" s="174">
        <f t="shared" si="1"/>
        <v>9.6783343639999988E-3</v>
      </c>
    </row>
    <row r="15" spans="1:32" x14ac:dyDescent="0.25">
      <c r="A15" s="179">
        <f>Vermögen!A17</f>
        <v>43861</v>
      </c>
      <c r="B15" s="169">
        <f>SUM(Vermögen!B17:J17)</f>
        <v>1099024077.4180655</v>
      </c>
      <c r="C15" s="166">
        <f>Vermögen!B17/Gesamtvermögen!$B15</f>
        <v>1.34462687120944E-2</v>
      </c>
      <c r="D15" s="166">
        <f>Vermögen!C17/Gesamtvermögen!$B15</f>
        <v>0.1847224818078074</v>
      </c>
      <c r="E15" s="166">
        <f>Vermögen!D17/Gesamtvermögen!$B15</f>
        <v>9.9436792509473987E-2</v>
      </c>
      <c r="F15" s="166">
        <f>Vermögen!E17/Gesamtvermögen!$B15</f>
        <v>0.16312820390784935</v>
      </c>
      <c r="G15" s="166">
        <f>Vermögen!F17/Gesamtvermögen!$B15</f>
        <v>0.17330745027221189</v>
      </c>
      <c r="H15" s="166">
        <f>Vermögen!G17/Gesamtvermögen!$B15</f>
        <v>0.11241060231261277</v>
      </c>
      <c r="I15" s="166">
        <f>Vermögen!H17/Gesamtvermögen!$B15</f>
        <v>7.1204160427207258E-2</v>
      </c>
      <c r="J15" s="166">
        <f>Vermögen!I17/Gesamtvermögen!$B15</f>
        <v>0.14690567510187</v>
      </c>
      <c r="K15" s="166">
        <f>Vermögen!J17/Gesamtvermögen!$B15</f>
        <v>3.5438364948872939E-2</v>
      </c>
      <c r="L15" s="171">
        <f>C14*Renditen!B16</f>
        <v>-1.6137272537592149E-5</v>
      </c>
      <c r="M15" s="171">
        <f>D14*Renditen!C16</f>
        <v>3.9897370668810902E-3</v>
      </c>
      <c r="N15" s="171">
        <f>E14*Renditen!D16</f>
        <v>1.2181440826780745E-3</v>
      </c>
      <c r="O15" s="171">
        <f>F14*Renditen!E16</f>
        <v>4.2257163086149293E-4</v>
      </c>
      <c r="P15" s="171">
        <f>G14*Renditen!F16</f>
        <v>-8.5245649102207003E-4</v>
      </c>
      <c r="Q15" s="171">
        <f>H14*Renditen!G16</f>
        <v>-6.3720379812946962E-3</v>
      </c>
      <c r="R15" s="171">
        <f>I14*Renditen!H16</f>
        <v>-3.0613168958443248E-4</v>
      </c>
      <c r="S15" s="171">
        <f>J14*Renditen!I16</f>
        <v>4.8266669907463643E-4</v>
      </c>
      <c r="T15" s="171">
        <f>K14*Renditen!J16</f>
        <v>3.4197530796294747E-4</v>
      </c>
      <c r="U15" s="171">
        <f t="shared" si="0"/>
        <v>-1.0916686469805484E-3</v>
      </c>
      <c r="W15" s="174">
        <f>Renditen!M16*Strategie!$B$4</f>
        <v>-1.423243E-5</v>
      </c>
      <c r="X15" s="175">
        <f>Strategie!$B$5*Renditen!N16</f>
        <v>1.9752714200000003E-3</v>
      </c>
      <c r="Y15" s="176">
        <f>Strategie!$B$6*Renditen!O16</f>
        <v>2.0352113099999999E-3</v>
      </c>
      <c r="Z15" s="174">
        <f>Strategie!$B$7*Renditen!P16</f>
        <v>3.1305160800000002E-4</v>
      </c>
      <c r="AA15" s="174">
        <f>Strategie!$B$8*Renditen!Q16</f>
        <v>-7.1707919999999998E-4</v>
      </c>
      <c r="AB15" s="174">
        <f>Strategie!$B$9*Renditen!R16</f>
        <v>-6.0545728320000004E-3</v>
      </c>
      <c r="AC15" s="174">
        <f>Strategie!$B$10*Renditen!S16</f>
        <v>1.2848557120000001E-3</v>
      </c>
      <c r="AD15" s="174">
        <f>Strategie!$B$11*Renditen!T16</f>
        <v>5.1963062399999998E-4</v>
      </c>
      <c r="AE15" s="174">
        <f>Strategie!$B$12*Renditen!U16</f>
        <v>4.5519747600000001E-4</v>
      </c>
      <c r="AF15" s="174">
        <f t="shared" si="1"/>
        <v>-2.0266631199999973E-4</v>
      </c>
    </row>
    <row r="16" spans="1:32" x14ac:dyDescent="0.25">
      <c r="A16" s="179">
        <f>Vermögen!A18</f>
        <v>43890</v>
      </c>
      <c r="B16" s="169">
        <f>SUM(Vermögen!B18:J18)</f>
        <v>1066659722.0606022</v>
      </c>
      <c r="C16" s="166">
        <f>Vermögen!B18/Gesamtvermögen!$B16</f>
        <v>1.3832085644536085E-2</v>
      </c>
      <c r="D16" s="166">
        <f>Vermögen!C18/Gesamtvermögen!$B16</f>
        <v>0.19196410554052343</v>
      </c>
      <c r="E16" s="166">
        <f>Vermögen!D18/Gesamtvermögen!$B16</f>
        <v>0.10138414440821766</v>
      </c>
      <c r="F16" s="166">
        <f>Vermögen!E18/Gesamtvermögen!$B16</f>
        <v>0.15540473766637669</v>
      </c>
      <c r="G16" s="166">
        <f>Vermögen!F18/Gesamtvermögen!$B16</f>
        <v>0.16381636300867322</v>
      </c>
      <c r="H16" s="166">
        <f>Vermögen!G18/Gesamtvermögen!$B16</f>
        <v>0.11040090143593327</v>
      </c>
      <c r="I16" s="166">
        <f>Vermögen!H18/Gesamtvermögen!$B16</f>
        <v>7.352849149743336E-2</v>
      </c>
      <c r="J16" s="166">
        <f>Vermögen!I18/Gesamtvermögen!$B16</f>
        <v>0.15187768926449075</v>
      </c>
      <c r="K16" s="166">
        <f>Vermögen!J18/Gesamtvermögen!$B16</f>
        <v>3.7791481533815383E-2</v>
      </c>
      <c r="L16" s="171">
        <f>C15*Renditen!B17</f>
        <v>-2.1514029939351041E-5</v>
      </c>
      <c r="M16" s="171">
        <f>D15*Renditen!C17</f>
        <v>1.5886133435471436E-3</v>
      </c>
      <c r="N16" s="171">
        <f>E15*Renditen!D17</f>
        <v>-1.0382355371098796E-3</v>
      </c>
      <c r="O16" s="171">
        <f>F15*Renditen!E17</f>
        <v>-1.229986657465184E-2</v>
      </c>
      <c r="P16" s="171">
        <f>G15*Renditen!F17</f>
        <v>-1.4315195392484704E-2</v>
      </c>
      <c r="Q16" s="171">
        <f>H15*Renditen!G17</f>
        <v>-5.2608161882302775E-3</v>
      </c>
      <c r="R16" s="171">
        <f>I15*Renditen!H17</f>
        <v>1.5904436121080262E-4</v>
      </c>
      <c r="S16" s="171">
        <f>J15*Renditen!I17</f>
        <v>4.9947929534635799E-4</v>
      </c>
      <c r="T16" s="171">
        <f>K15*Renditen!J17</f>
        <v>1.2402229159349089E-3</v>
      </c>
      <c r="U16" s="171">
        <f t="shared" si="0"/>
        <v>-2.9448267806376837E-2</v>
      </c>
      <c r="W16" s="174">
        <f>Renditen!M17*Strategie!$B$4</f>
        <v>-1.3073138000000001E-5</v>
      </c>
      <c r="X16" s="175">
        <f>Strategie!$B$5*Renditen!N17</f>
        <v>7.1668534000000005E-4</v>
      </c>
      <c r="Y16" s="176">
        <f>Strategie!$B$6*Renditen!O17</f>
        <v>1.3978857300000001E-3</v>
      </c>
      <c r="Z16" s="174">
        <f>Strategie!$B$7*Renditen!P17</f>
        <v>-9.073800852E-3</v>
      </c>
      <c r="AA16" s="174">
        <f>Strategie!$B$8*Renditen!Q17</f>
        <v>-1.3223901312E-2</v>
      </c>
      <c r="AB16" s="174">
        <f>Strategie!$B$9*Renditen!R17</f>
        <v>-5.9155032479999998E-3</v>
      </c>
      <c r="AC16" s="174">
        <f>Strategie!$B$10*Renditen!S17</f>
        <v>-8.0588396159999992E-3</v>
      </c>
      <c r="AD16" s="174">
        <f>Strategie!$B$11*Renditen!T17</f>
        <v>5.1658875200000004E-4</v>
      </c>
      <c r="AE16" s="174">
        <f>Strategie!$B$12*Renditen!U17</f>
        <v>-3.16376702E-3</v>
      </c>
      <c r="AF16" s="174">
        <f t="shared" si="1"/>
        <v>-3.6817725363999992E-2</v>
      </c>
    </row>
    <row r="17" spans="1:32" x14ac:dyDescent="0.25">
      <c r="A17" s="179">
        <f>Vermögen!A19</f>
        <v>43921</v>
      </c>
      <c r="B17" s="169">
        <f>SUM(Vermögen!B19:J19)</f>
        <v>996276523.9256103</v>
      </c>
      <c r="C17" s="166">
        <f>Vermögen!B19/Gesamtvermögen!$B17</f>
        <v>1.4872950457408262E-2</v>
      </c>
      <c r="D17" s="166">
        <f>Vermögen!C19/Gesamtvermögen!$B17</f>
        <v>0.19543433991871026</v>
      </c>
      <c r="E17" s="166">
        <f>Vermögen!D19/Gesamtvermögen!$B17</f>
        <v>9.3940201440653182E-2</v>
      </c>
      <c r="F17" s="166">
        <f>Vermögen!E19/Gesamtvermögen!$B17</f>
        <v>0.15836381460024035</v>
      </c>
      <c r="G17" s="166">
        <f>Vermögen!F19/Gesamtvermögen!$B17</f>
        <v>0.15234321058212291</v>
      </c>
      <c r="H17" s="166">
        <f>Vermögen!G19/Gesamtvermögen!$B17</f>
        <v>0.10009202324505802</v>
      </c>
      <c r="I17" s="166">
        <f>Vermögen!H19/Gesamtvermögen!$B17</f>
        <v>8.2932378439709006E-2</v>
      </c>
      <c r="J17" s="166">
        <f>Vermögen!I19/Gesamtvermögen!$B17</f>
        <v>0.1631601428733325</v>
      </c>
      <c r="K17" s="166">
        <f>Vermögen!J19/Gesamtvermögen!$B17</f>
        <v>3.8860938442765523E-2</v>
      </c>
      <c r="L17" s="171">
        <f>C16*Renditen!B18</f>
        <v>5.9477968271505164E-5</v>
      </c>
      <c r="M17" s="171">
        <f>D16*Renditen!C18</f>
        <v>-9.4254375820396995E-3</v>
      </c>
      <c r="N17" s="171">
        <f>E16*Renditen!D18</f>
        <v>-1.3642556896724261E-2</v>
      </c>
      <c r="O17" s="171">
        <f>F16*Renditen!E18</f>
        <v>-7.4905083555193569E-3</v>
      </c>
      <c r="P17" s="171">
        <f>G16*Renditen!F18</f>
        <v>-2.1525470099339659E-2</v>
      </c>
      <c r="Q17" s="171">
        <f>H16*Renditen!G18</f>
        <v>-1.6913418099984978E-2</v>
      </c>
      <c r="R17" s="171">
        <f>I16*Renditen!H18</f>
        <v>3.9316206676552725E-3</v>
      </c>
      <c r="S17" s="171">
        <f>J16*Renditen!I18</f>
        <v>5.1638414349926851E-4</v>
      </c>
      <c r="T17" s="171">
        <f>K16*Renditen!J18</f>
        <v>-1.4947695951171847E-3</v>
      </c>
      <c r="U17" s="171">
        <f t="shared" si="0"/>
        <v>-6.5984677849299095E-2</v>
      </c>
      <c r="W17" s="174">
        <f>Renditen!M18*Strategie!$B$4</f>
        <v>-1.4583726000000002E-5</v>
      </c>
      <c r="X17" s="175">
        <f>Strategie!$B$5*Renditen!N18</f>
        <v>-7.974410480000001E-3</v>
      </c>
      <c r="Y17" s="176">
        <f>Strategie!$B$6*Renditen!O18</f>
        <v>-1.5054806E-4</v>
      </c>
      <c r="Z17" s="174">
        <f>Strategie!$B$7*Renditen!P18</f>
        <v>-5.8317917279999999E-3</v>
      </c>
      <c r="AA17" s="174">
        <f>Strategie!$B$8*Renditen!Q18</f>
        <v>-2.1028011360000001E-2</v>
      </c>
      <c r="AB17" s="174">
        <f>Strategie!$B$9*Renditen!R18</f>
        <v>-1.8524530644E-2</v>
      </c>
      <c r="AC17" s="174">
        <f>Strategie!$B$10*Renditen!S18</f>
        <v>-2.0568168639999999E-2</v>
      </c>
      <c r="AD17" s="174">
        <f>Strategie!$B$11*Renditen!T18</f>
        <v>8.4797639999999999E-4</v>
      </c>
      <c r="AE17" s="174">
        <f>Strategie!$B$12*Renditen!U18</f>
        <v>-8.8710919440000008E-3</v>
      </c>
      <c r="AF17" s="174">
        <f t="shared" si="1"/>
        <v>-8.2115160181999991E-2</v>
      </c>
    </row>
    <row r="18" spans="1:32" x14ac:dyDescent="0.25">
      <c r="A18" s="179">
        <f>Vermögen!A20</f>
        <v>43951</v>
      </c>
      <c r="B18" s="169">
        <f>SUM(Vermögen!B20:J20)</f>
        <v>1034128415.3272974</v>
      </c>
      <c r="C18" s="166">
        <f>Vermögen!B20/Gesamtvermögen!$B18</f>
        <v>1.432282890030036E-2</v>
      </c>
      <c r="D18" s="166">
        <f>Vermögen!C20/Gesamtvermögen!$B18</f>
        <v>0.19159465965956149</v>
      </c>
      <c r="E18" s="166">
        <f>Vermögen!D20/Gesamtvermögen!$B18</f>
        <v>9.2631402658325826E-2</v>
      </c>
      <c r="F18" s="166">
        <f>Vermögen!E20/Gesamtvermögen!$B18</f>
        <v>0.16048551290958932</v>
      </c>
      <c r="G18" s="166">
        <f>Vermögen!F20/Gesamtvermögen!$B18</f>
        <v>0.16219225353692887</v>
      </c>
      <c r="H18" s="166">
        <f>Vermögen!G20/Gesamtvermögen!$B18</f>
        <v>0.10496229709212768</v>
      </c>
      <c r="I18" s="166">
        <f>Vermögen!H20/Gesamtvermögen!$B18</f>
        <v>7.9660194497130424E-2</v>
      </c>
      <c r="J18" s="166">
        <f>Vermögen!I20/Gesamtvermögen!$B18</f>
        <v>0.15772248056966567</v>
      </c>
      <c r="K18" s="166">
        <f>Vermögen!J20/Gesamtvermögen!$B18</f>
        <v>3.6428370176370475E-2</v>
      </c>
      <c r="L18" s="171">
        <f>C17*Renditen!B19</f>
        <v>-5.9491801829633052E-6</v>
      </c>
      <c r="M18" s="171">
        <f>D17*Renditen!C19</f>
        <v>3.4396443825693008E-3</v>
      </c>
      <c r="N18" s="171">
        <f>E17*Renditen!D19</f>
        <v>2.2105793316858184E-3</v>
      </c>
      <c r="O18" s="171">
        <f>F17*Renditen!E19</f>
        <v>8.2190819777524741E-3</v>
      </c>
      <c r="P18" s="171">
        <f>G17*Renditen!F19</f>
        <v>1.6011271432181118E-2</v>
      </c>
      <c r="Q18" s="171">
        <f>H17*Renditen!G19</f>
        <v>8.8581440571876349E-3</v>
      </c>
      <c r="R18" s="171">
        <f>I17*Renditen!H19</f>
        <v>-2.4562559383664644E-4</v>
      </c>
      <c r="S18" s="171">
        <f>J17*Renditen!I19</f>
        <v>5.5474448576933049E-4</v>
      </c>
      <c r="T18" s="171">
        <f>K17*Renditen!J19</f>
        <v>-1.0485321290952872E-3</v>
      </c>
      <c r="U18" s="171">
        <f t="shared" si="0"/>
        <v>3.7993358764030781E-2</v>
      </c>
      <c r="W18" s="174">
        <f>Renditen!M19*Strategie!$B$4</f>
        <v>-1.2951410000000002E-5</v>
      </c>
      <c r="X18" s="175">
        <f>Strategie!$B$5*Renditen!N19</f>
        <v>2.4792748200000003E-3</v>
      </c>
      <c r="Y18" s="176">
        <f>Strategie!$B$6*Renditen!O19</f>
        <v>7.4080925000000013E-4</v>
      </c>
      <c r="Z18" s="174">
        <f>Strategie!$B$7*Renditen!P19</f>
        <v>6.2155529279999998E-3</v>
      </c>
      <c r="AA18" s="174">
        <f>Strategie!$B$8*Renditen!Q19</f>
        <v>1.6926331984000002E-2</v>
      </c>
      <c r="AB18" s="174">
        <f>Strategie!$B$9*Renditen!R19</f>
        <v>1.0663775052E-2</v>
      </c>
      <c r="AC18" s="174">
        <f>Strategie!$B$10*Renditen!S19</f>
        <v>9.8208192080000006E-3</v>
      </c>
      <c r="AD18" s="174">
        <f>Strategie!$B$11*Renditen!T19</f>
        <v>6.0120313600000002E-4</v>
      </c>
      <c r="AE18" s="174">
        <f>Strategie!$B$12*Renditen!U19</f>
        <v>2.5832838560000001E-3</v>
      </c>
      <c r="AF18" s="174">
        <f t="shared" si="1"/>
        <v>5.0018098823999997E-2</v>
      </c>
    </row>
    <row r="19" spans="1:32" x14ac:dyDescent="0.25">
      <c r="A19" s="179">
        <f>Vermögen!A21</f>
        <v>43982</v>
      </c>
      <c r="B19" s="169">
        <f>SUM(Vermögen!B21:J21)</f>
        <v>1053334324.33152</v>
      </c>
      <c r="C19" s="166">
        <f>Vermögen!B21/Gesamtvermögen!$B19</f>
        <v>1.40194894246728E-2</v>
      </c>
      <c r="D19" s="166">
        <f>Vermögen!C21/Gesamtvermögen!$B19</f>
        <v>0.18804479941360092</v>
      </c>
      <c r="E19" s="166">
        <f>Vermögen!D21/Gesamtvermögen!$B19</f>
        <v>9.6029179884201357E-2</v>
      </c>
      <c r="F19" s="166">
        <f>Vermögen!E21/Gesamtvermögen!$B19</f>
        <v>0.16204975014673745</v>
      </c>
      <c r="G19" s="166">
        <f>Vermögen!F21/Gesamtvermögen!$B19</f>
        <v>0.16675081941874687</v>
      </c>
      <c r="H19" s="166">
        <f>Vermögen!G21/Gesamtvermögen!$B19</f>
        <v>0.10341944776971776</v>
      </c>
      <c r="I19" s="166">
        <f>Vermögen!H21/Gesamtvermögen!$B19</f>
        <v>7.7848384386970115E-2</v>
      </c>
      <c r="J19" s="166">
        <f>Vermögen!I21/Gesamtvermögen!$B19</f>
        <v>0.1553731356975373</v>
      </c>
      <c r="K19" s="166">
        <f>Vermögen!J21/Gesamtvermögen!$B19</f>
        <v>3.6464993857815535E-2</v>
      </c>
      <c r="L19" s="171">
        <f>C18*Renditen!B20</f>
        <v>-4.2968486700901077E-5</v>
      </c>
      <c r="M19" s="171">
        <f>D18*Renditen!C20</f>
        <v>-5.7478397897868443E-5</v>
      </c>
      <c r="N19" s="171">
        <f>E18*Renditen!D20</f>
        <v>5.1812382189886028E-3</v>
      </c>
      <c r="O19" s="171">
        <f>F18*Renditen!E20</f>
        <v>4.573837117923296E-3</v>
      </c>
      <c r="P19" s="171">
        <f>G18*Renditen!F20</f>
        <v>7.6554743669430426E-3</v>
      </c>
      <c r="Q19" s="171">
        <f>H18*Renditen!G20</f>
        <v>3.7786426953165963E-4</v>
      </c>
      <c r="R19" s="171">
        <f>I18*Renditen!H20</f>
        <v>-3.6600418847631096E-4</v>
      </c>
      <c r="S19" s="171">
        <f>J18*Renditen!I20</f>
        <v>5.3625643393686326E-4</v>
      </c>
      <c r="T19" s="171">
        <f>K18*Renditen!J20</f>
        <v>7.1385422988820308E-4</v>
      </c>
      <c r="U19" s="171">
        <f t="shared" si="0"/>
        <v>1.8572073564136586E-2</v>
      </c>
      <c r="W19" s="174">
        <f>Renditen!M20*Strategie!$B$4</f>
        <v>-1.1315778000000001E-5</v>
      </c>
      <c r="X19" s="175">
        <f>Strategie!$B$5*Renditen!N20</f>
        <v>4.4386622000000005E-4</v>
      </c>
      <c r="Y19" s="176">
        <f>Strategie!$B$6*Renditen!O20</f>
        <v>-2.1737663999999999E-4</v>
      </c>
      <c r="Z19" s="174">
        <f>Strategie!$B$7*Renditen!P20</f>
        <v>3.428902596E-3</v>
      </c>
      <c r="AA19" s="174">
        <f>Strategie!$B$8*Renditen!Q20</f>
        <v>7.5421812479999992E-3</v>
      </c>
      <c r="AB19" s="174">
        <f>Strategie!$B$9*Renditen!R20</f>
        <v>3.6435492000000001E-4</v>
      </c>
      <c r="AC19" s="174">
        <f>Strategie!$B$10*Renditen!S20</f>
        <v>6.4300309840000002E-3</v>
      </c>
      <c r="AD19" s="174">
        <f>Strategie!$B$11*Renditen!T20</f>
        <v>6.7533438400000007E-4</v>
      </c>
      <c r="AE19" s="174">
        <f>Strategie!$B$12*Renditen!U20</f>
        <v>4.9572436000000005E-5</v>
      </c>
      <c r="AF19" s="174">
        <f t="shared" si="1"/>
        <v>1.8705550370000004E-2</v>
      </c>
    </row>
    <row r="20" spans="1:32" x14ac:dyDescent="0.25">
      <c r="A20" s="179">
        <f>Vermögen!A22</f>
        <v>44012</v>
      </c>
      <c r="B20" s="169">
        <f>SUM(Vermögen!B22:J22)</f>
        <v>1061585045.4330417</v>
      </c>
      <c r="C20" s="166">
        <f>Vermögen!B22/Gesamtvermögen!$B20</f>
        <v>1.3878534651864114E-2</v>
      </c>
      <c r="D20" s="166">
        <f>Vermögen!C22/Gesamtvermögen!$B20</f>
        <v>0.18665793400494315</v>
      </c>
      <c r="E20" s="166">
        <f>Vermögen!D22/Gesamtvermögen!$B20</f>
        <v>9.8199388820477934E-2</v>
      </c>
      <c r="F20" s="166">
        <f>Vermögen!E22/Gesamtvermögen!$B20</f>
        <v>0.16329861542823557</v>
      </c>
      <c r="G20" s="166">
        <f>Vermögen!F22/Gesamtvermögen!$B20</f>
        <v>0.1692602799901653</v>
      </c>
      <c r="H20" s="166">
        <f>Vermögen!G22/Gesamtvermögen!$B20</f>
        <v>0.10866998798613628</v>
      </c>
      <c r="I20" s="166">
        <f>Vermögen!H22/Gesamtvermögen!$B20</f>
        <v>6.9690816130359004E-2</v>
      </c>
      <c r="J20" s="166">
        <f>Vermögen!I22/Gesamtvermögen!$B20</f>
        <v>0.15468972658308253</v>
      </c>
      <c r="K20" s="166">
        <f>Vermögen!J22/Gesamtvermögen!$B20</f>
        <v>3.5654716404736136E-2</v>
      </c>
      <c r="L20" s="171">
        <f>C19*Renditen!B21</f>
        <v>-3.2244825676747438E-5</v>
      </c>
      <c r="M20" s="171">
        <f>D19*Renditen!C21</f>
        <v>7.5217919765440373E-5</v>
      </c>
      <c r="N20" s="171">
        <f>E19*Renditen!D21</f>
        <v>2.9394003988369925E-3</v>
      </c>
      <c r="O20" s="171">
        <f>F19*Renditen!E21</f>
        <v>2.5279761022891042E-3</v>
      </c>
      <c r="P20" s="171">
        <f>G19*Renditen!F21</f>
        <v>3.8352688466311777E-3</v>
      </c>
      <c r="Q20" s="171">
        <f>H19*Renditen!G21</f>
        <v>6.1017474184133476E-3</v>
      </c>
      <c r="R20" s="171">
        <f>I19*Renditen!H21</f>
        <v>-7.6116831810498116E-3</v>
      </c>
      <c r="S20" s="171">
        <f>J19*Renditen!I21</f>
        <v>5.2826866137162677E-4</v>
      </c>
      <c r="T20" s="171">
        <f>K19*Renditen!J21</f>
        <v>-5.3099563892603147E-4</v>
      </c>
      <c r="U20" s="171">
        <f t="shared" si="0"/>
        <v>7.8329557016550994E-3</v>
      </c>
      <c r="W20" s="174">
        <f>Renditen!M21*Strategie!$B$4</f>
        <v>-9.9572220000000003E-6</v>
      </c>
      <c r="X20" s="175">
        <f>Strategie!$B$5*Renditen!N21</f>
        <v>5.8032988000000004E-4</v>
      </c>
      <c r="Y20" s="176">
        <f>Strategie!$B$6*Renditen!O21</f>
        <v>2.127749E-4</v>
      </c>
      <c r="Z20" s="174">
        <f>Strategie!$B$7*Renditen!P21</f>
        <v>1.8616288559999998E-3</v>
      </c>
      <c r="AA20" s="174">
        <f>Strategie!$B$8*Renditen!Q21</f>
        <v>3.6500553759999999E-3</v>
      </c>
      <c r="AB20" s="174">
        <f>Strategie!$B$9*Renditen!R21</f>
        <v>7.0577867520000004E-3</v>
      </c>
      <c r="AC20" s="174">
        <f>Strategie!$B$10*Renditen!S21</f>
        <v>1.4847883759999999E-3</v>
      </c>
      <c r="AD20" s="174">
        <f>Strategie!$B$11*Renditen!T21</f>
        <v>5.2308990399999998E-4</v>
      </c>
      <c r="AE20" s="174">
        <f>Strategie!$B$12*Renditen!U21</f>
        <v>9.0357717599999997E-4</v>
      </c>
      <c r="AF20" s="174">
        <f t="shared" si="1"/>
        <v>1.6264073997999999E-2</v>
      </c>
    </row>
    <row r="21" spans="1:32" x14ac:dyDescent="0.25">
      <c r="A21" s="179">
        <f>Vermögen!A23</f>
        <v>44043</v>
      </c>
      <c r="B21" s="169">
        <f>SUM(Vermögen!B23:J23)</f>
        <v>1075155865.4040976</v>
      </c>
      <c r="C21" s="166">
        <f>Vermögen!B23/Gesamtvermögen!$B21</f>
        <v>1.3582767628646797E-2</v>
      </c>
      <c r="D21" s="166">
        <f>Vermögen!C23/Gesamtvermögen!$B21</f>
        <v>0.1861633515959967</v>
      </c>
      <c r="E21" s="166">
        <f>Vermögen!D23/Gesamtvermögen!$B21</f>
        <v>0.10024720728916166</v>
      </c>
      <c r="F21" s="166">
        <f>Vermögen!E23/Gesamtvermögen!$B21</f>
        <v>0.16088270718194997</v>
      </c>
      <c r="G21" s="166">
        <f>Vermögen!F23/Gesamtvermögen!$B21</f>
        <v>0.17260550694571714</v>
      </c>
      <c r="H21" s="166">
        <f>Vermögen!G23/Gesamtvermögen!$B21</f>
        <v>0.11229843732351383</v>
      </c>
      <c r="I21" s="166">
        <f>Vermögen!H23/Gesamtvermögen!$B21</f>
        <v>6.6103664633662781E-2</v>
      </c>
      <c r="J21" s="166">
        <f>Vermögen!I23/Gesamtvermögen!$B21</f>
        <v>0.15325651019188102</v>
      </c>
      <c r="K21" s="166">
        <f>Vermögen!J23/Gesamtvermögen!$B21</f>
        <v>3.485984720947001E-2</v>
      </c>
      <c r="L21" s="171">
        <f>C20*Renditen!B22</f>
        <v>-1.2213110493640422E-4</v>
      </c>
      <c r="M21" s="171">
        <f>D20*Renditen!C22</f>
        <v>1.8852451334499258E-3</v>
      </c>
      <c r="N21" s="171">
        <f>E20*Renditen!D22</f>
        <v>3.3293331326053276E-3</v>
      </c>
      <c r="O21" s="171">
        <f>F20*Renditen!E22</f>
        <v>-3.5925695394211824E-4</v>
      </c>
      <c r="P21" s="171">
        <f>G20*Renditen!F22</f>
        <v>5.5517371836774224E-3</v>
      </c>
      <c r="Q21" s="171">
        <f>H20*Renditen!G22</f>
        <v>5.0640214401539508E-3</v>
      </c>
      <c r="R21" s="171">
        <f>I20*Renditen!H22</f>
        <v>-2.7421123394193313E-3</v>
      </c>
      <c r="S21" s="171">
        <f>J20*Renditen!I22</f>
        <v>5.2594507038248054E-4</v>
      </c>
      <c r="T21" s="171">
        <f>K20*Renditen!J22</f>
        <v>-3.4923677727623448E-4</v>
      </c>
      <c r="U21" s="171">
        <f t="shared" si="0"/>
        <v>1.278354478469502E-2</v>
      </c>
      <c r="W21" s="174">
        <f>Renditen!M22*Strategie!$B$4</f>
        <v>-1.136284E-5</v>
      </c>
      <c r="X21" s="175">
        <f>Strategie!$B$5*Renditen!N22</f>
        <v>1.0811634000000001E-3</v>
      </c>
      <c r="Y21" s="176">
        <f>Strategie!$B$6*Renditen!O22</f>
        <v>8.6610981000000012E-4</v>
      </c>
      <c r="Z21" s="174">
        <f>Strategie!$B$7*Renditen!P22</f>
        <v>-2.76358296E-4</v>
      </c>
      <c r="AA21" s="174">
        <f>Strategie!$B$8*Renditen!Q22</f>
        <v>5.2230402720000006E-3</v>
      </c>
      <c r="AB21" s="174">
        <f>Strategie!$B$9*Renditen!R22</f>
        <v>5.501511156E-3</v>
      </c>
      <c r="AC21" s="174">
        <f>Strategie!$B$10*Renditen!S22</f>
        <v>-3.5342528800000003E-4</v>
      </c>
      <c r="AD21" s="174">
        <f>Strategie!$B$11*Renditen!T22</f>
        <v>5.4896507200000004E-4</v>
      </c>
      <c r="AE21" s="174">
        <f>Strategie!$B$12*Renditen!U22</f>
        <v>4.9143617999999997E-4</v>
      </c>
      <c r="AF21" s="174">
        <f t="shared" si="1"/>
        <v>1.3071079466000002E-2</v>
      </c>
    </row>
    <row r="22" spans="1:32" x14ac:dyDescent="0.25">
      <c r="A22" s="179">
        <f>Vermögen!A24</f>
        <v>44074</v>
      </c>
      <c r="B22" s="169">
        <f>SUM(Vermögen!B24:J24)</f>
        <v>1090277204.0134506</v>
      </c>
      <c r="C22" s="166">
        <f>Vermögen!B24/Gesamtvermögen!$B22</f>
        <v>1.33796508623212E-2</v>
      </c>
      <c r="D22" s="166">
        <f>Vermögen!C24/Gesamtvermögen!$B22</f>
        <v>0.18172723139263253</v>
      </c>
      <c r="E22" s="166">
        <f>Vermögen!D24/Gesamtvermögen!$B22</f>
        <v>9.9354160897001428E-2</v>
      </c>
      <c r="F22" s="166">
        <f>Vermögen!E24/Gesamtvermögen!$B22</f>
        <v>0.16179268038214323</v>
      </c>
      <c r="G22" s="166">
        <f>Vermögen!F24/Gesamtvermögen!$B22</f>
        <v>0.18088386327992023</v>
      </c>
      <c r="H22" s="166">
        <f>Vermögen!G24/Gesamtvermögen!$B22</f>
        <v>0.11209198051807061</v>
      </c>
      <c r="I22" s="166">
        <f>Vermögen!H24/Gesamtvermögen!$B22</f>
        <v>6.449069554832261E-2</v>
      </c>
      <c r="J22" s="166">
        <f>Vermögen!I24/Gesamtvermögen!$B22</f>
        <v>0.15164480097117963</v>
      </c>
      <c r="K22" s="166">
        <f>Vermögen!J24/Gesamtvermögen!$B22</f>
        <v>3.4634936148408714E-2</v>
      </c>
      <c r="L22" s="171">
        <f>C21*Renditen!B23</f>
        <v>-1.4941044391511478E-5</v>
      </c>
      <c r="M22" s="171">
        <f>D21*Renditen!C23</f>
        <v>-1.8802498511195666E-3</v>
      </c>
      <c r="N22" s="171">
        <f>E21*Renditen!D23</f>
        <v>5.0430254813230678E-4</v>
      </c>
      <c r="O22" s="171">
        <f>F21*Renditen!E23</f>
        <v>3.1854776022026098E-3</v>
      </c>
      <c r="P22" s="171">
        <f>G21*Renditen!F23</f>
        <v>1.0822365285496465E-2</v>
      </c>
      <c r="Q22" s="171">
        <f>H21*Renditen!G23</f>
        <v>1.3700409353468689E-3</v>
      </c>
      <c r="R22" s="171">
        <f>I21*Renditen!H23</f>
        <v>-7.0595115806285839E-4</v>
      </c>
      <c r="S22" s="171">
        <f>J21*Renditen!I23</f>
        <v>5.2107213465239549E-4</v>
      </c>
      <c r="T22" s="171">
        <f>K21*Renditen!J23</f>
        <v>2.6220584362727812E-4</v>
      </c>
      <c r="U22" s="171">
        <f t="shared" si="0"/>
        <v>1.406432229588399E-2</v>
      </c>
      <c r="W22" s="174">
        <f>Renditen!M23*Strategie!$B$4</f>
        <v>-1.2980972000000002E-5</v>
      </c>
      <c r="X22" s="175">
        <f>Strategie!$B$5*Renditen!N23</f>
        <v>-4.9981068000000005E-4</v>
      </c>
      <c r="Y22" s="176">
        <f>Strategie!$B$6*Renditen!O23</f>
        <v>-1.0973441600000001E-3</v>
      </c>
      <c r="Z22" s="174">
        <f>Strategie!$B$7*Renditen!P23</f>
        <v>2.4320344559999999E-3</v>
      </c>
      <c r="AA22" s="174">
        <f>Strategie!$B$8*Renditen!Q23</f>
        <v>1.00655308E-2</v>
      </c>
      <c r="AB22" s="174">
        <f>Strategie!$B$9*Renditen!R23</f>
        <v>1.4055111359999998E-3</v>
      </c>
      <c r="AC22" s="174">
        <f>Strategie!$B$10*Renditen!S23</f>
        <v>1.898023048E-3</v>
      </c>
      <c r="AD22" s="174">
        <f>Strategie!$B$11*Renditen!T23</f>
        <v>5.8328256E-4</v>
      </c>
      <c r="AE22" s="174">
        <f>Strategie!$B$12*Renditen!U23</f>
        <v>8.1549683200000001E-4</v>
      </c>
      <c r="AF22" s="174">
        <f t="shared" si="1"/>
        <v>1.5589743020000001E-2</v>
      </c>
    </row>
    <row r="23" spans="1:32" x14ac:dyDescent="0.25">
      <c r="A23" s="179">
        <f>Vermögen!A25</f>
        <v>44104</v>
      </c>
      <c r="B23" s="169">
        <f>SUM(Vermögen!B25:J25)</f>
        <v>1092073094.7084424</v>
      </c>
      <c r="C23" s="166">
        <f>Vermögen!B25/Gesamtvermögen!$B23</f>
        <v>1.3357648314504292E-2</v>
      </c>
      <c r="D23" s="166">
        <f>Vermögen!C25/Gesamtvermögen!$B23</f>
        <v>0.18304309749804937</v>
      </c>
      <c r="E23" s="166">
        <f>Vermögen!D25/Gesamtvermögen!$B23</f>
        <v>9.714600624964187E-2</v>
      </c>
      <c r="F23" s="166">
        <f>Vermögen!E25/Gesamtvermögen!$B23</f>
        <v>0.16238270686594691</v>
      </c>
      <c r="G23" s="166">
        <f>Vermögen!F25/Gesamtvermögen!$B23</f>
        <v>0.17495210786646312</v>
      </c>
      <c r="H23" s="166">
        <f>Vermögen!G25/Gesamtvermögen!$B23</f>
        <v>0.11235527825980964</v>
      </c>
      <c r="I23" s="166">
        <f>Vermögen!H25/Gesamtvermögen!$B23</f>
        <v>7.0264877774697698E-2</v>
      </c>
      <c r="J23" s="166">
        <f>Vermögen!I25/Gesamtvermögen!$B23</f>
        <v>0.15191016880329333</v>
      </c>
      <c r="K23" s="166">
        <f>Vermögen!J25/Gesamtvermögen!$B23</f>
        <v>3.4588108367593656E-2</v>
      </c>
      <c r="L23" s="171">
        <f>C22*Renditen!B24</f>
        <v>0</v>
      </c>
      <c r="M23" s="171">
        <f>D22*Renditen!C24</f>
        <v>1.6173723593944295E-3</v>
      </c>
      <c r="N23" s="171">
        <f>E22*Renditen!D24</f>
        <v>-2.0481369857620188E-3</v>
      </c>
      <c r="O23" s="171">
        <f>F22*Renditen!E24</f>
        <v>8.5750120602535909E-4</v>
      </c>
      <c r="P23" s="171">
        <f>G22*Renditen!F24</f>
        <v>-5.6435765343335106E-3</v>
      </c>
      <c r="Q23" s="171">
        <f>H22*Renditen!G24</f>
        <v>4.4836792207228243E-4</v>
      </c>
      <c r="R23" s="171">
        <f>I22*Renditen!H24</f>
        <v>5.889921636238752E-3</v>
      </c>
      <c r="S23" s="171">
        <f>J22*Renditen!I24</f>
        <v>5.1559232330201075E-4</v>
      </c>
      <c r="T23" s="171">
        <f>K22*Renditen!J24</f>
        <v>1.0145309832041115E-5</v>
      </c>
      <c r="U23" s="171">
        <f t="shared" si="0"/>
        <v>1.6471872367693455E-3</v>
      </c>
      <c r="W23" s="174">
        <f>Renditen!M24*Strategie!$B$4</f>
        <v>-1.2954343999999999E-5</v>
      </c>
      <c r="X23" s="175">
        <f>Strategie!$B$5*Renditen!N24</f>
        <v>8.6547221999999993E-4</v>
      </c>
      <c r="Y23" s="176">
        <f>Strategie!$B$6*Renditen!O24</f>
        <v>6.7710524000000002E-4</v>
      </c>
      <c r="Z23" s="174">
        <f>Strategie!$B$7*Renditen!P24</f>
        <v>6.2375333999999995E-4</v>
      </c>
      <c r="AA23" s="174">
        <f>Strategie!$B$8*Renditen!Q24</f>
        <v>-4.9953144319999998E-3</v>
      </c>
      <c r="AB23" s="174">
        <f>Strategie!$B$9*Renditen!R24</f>
        <v>4.74872988E-4</v>
      </c>
      <c r="AC23" s="174">
        <f>Strategie!$B$10*Renditen!S24</f>
        <v>-1.373253552E-3</v>
      </c>
      <c r="AD23" s="174">
        <f>Strategie!$B$11*Renditen!T24</f>
        <v>7.9669526399999996E-4</v>
      </c>
      <c r="AE23" s="174">
        <f>Strategie!$B$12*Renditen!U24</f>
        <v>-1.005449112E-3</v>
      </c>
      <c r="AF23" s="174">
        <f t="shared" si="1"/>
        <v>-3.9490723880000007E-3</v>
      </c>
    </row>
    <row r="24" spans="1:32" x14ac:dyDescent="0.25">
      <c r="A24" s="179">
        <f>Vermögen!A26</f>
        <v>44135</v>
      </c>
      <c r="B24" s="169">
        <f>SUM(Vermögen!B26:J26)</f>
        <v>1078492592.4299214</v>
      </c>
      <c r="C24" s="166">
        <f>Vermögen!B26/Gesamtvermögen!$B24</f>
        <v>1.3512323503011719E-2</v>
      </c>
      <c r="D24" s="166">
        <f>Vermögen!C26/Gesamtvermögen!$B24</f>
        <v>0.18555187994845859</v>
      </c>
      <c r="E24" s="166">
        <f>Vermögen!D26/Gesamtvermögen!$B24</f>
        <v>9.8372766759311447E-2</v>
      </c>
      <c r="F24" s="166">
        <f>Vermögen!E26/Gesamtvermögen!$B24</f>
        <v>0.15498931296905796</v>
      </c>
      <c r="G24" s="166">
        <f>Vermögen!F26/Gesamtvermögen!$B24</f>
        <v>0.1718404711060926</v>
      </c>
      <c r="H24" s="166">
        <f>Vermögen!G26/Gesamtvermögen!$B24</f>
        <v>0.11582930704053732</v>
      </c>
      <c r="I24" s="166">
        <f>Vermögen!H26/Gesamtvermögen!$B24</f>
        <v>7.0956421325273411E-2</v>
      </c>
      <c r="J24" s="166">
        <f>Vermögen!I26/Gesamtvermögen!$B24</f>
        <v>0.154346037384827</v>
      </c>
      <c r="K24" s="166">
        <f>Vermögen!J26/Gesamtvermögen!$B24</f>
        <v>3.4601479963429986E-2</v>
      </c>
      <c r="L24" s="171">
        <f>C23*Renditen!B25</f>
        <v>-1.3357648314504292E-5</v>
      </c>
      <c r="M24" s="171">
        <f>D23*Renditen!C25</f>
        <v>2.013474072478543E-4</v>
      </c>
      <c r="N24" s="171">
        <f>E23*Renditen!D25</f>
        <v>3.4435086441839041E-6</v>
      </c>
      <c r="O24" s="171">
        <f>F23*Renditen!E25</f>
        <v>-9.3207673741053532E-3</v>
      </c>
      <c r="P24" s="171">
        <f>G23*Renditen!F25</f>
        <v>-5.2485632359938932E-3</v>
      </c>
      <c r="Q24" s="171">
        <f>H23*Renditen!G25</f>
        <v>2.0336305365025544E-3</v>
      </c>
      <c r="R24" s="171">
        <f>I23*Renditen!H25</f>
        <v>-1.9083680120911351E-4</v>
      </c>
      <c r="S24" s="171">
        <f>J23*Renditen!I25</f>
        <v>5.1649457393119732E-4</v>
      </c>
      <c r="T24" s="171">
        <f>K23*Renditen!J25</f>
        <v>-4.1691597352184876E-4</v>
      </c>
      <c r="U24" s="171">
        <f t="shared" si="0"/>
        <v>-1.2435525006818923E-2</v>
      </c>
      <c r="W24" s="174">
        <f>Renditen!M25*Strategie!$B$4</f>
        <v>-1.3629295999999999E-5</v>
      </c>
      <c r="X24" s="175">
        <f>Strategie!$B$5*Renditen!N25</f>
        <v>3.0236602000000001E-4</v>
      </c>
      <c r="Y24" s="176">
        <f>Strategie!$B$6*Renditen!O25</f>
        <v>-1.4925698000000002E-4</v>
      </c>
      <c r="Z24" s="174">
        <f>Strategie!$B$7*Renditen!P25</f>
        <v>-6.886350504E-3</v>
      </c>
      <c r="AA24" s="174">
        <f>Strategie!$B$8*Renditen!Q25</f>
        <v>-4.8467569440000004E-3</v>
      </c>
      <c r="AB24" s="174">
        <f>Strategie!$B$9*Renditen!R25</f>
        <v>2.1790971959999997E-3</v>
      </c>
      <c r="AC24" s="174">
        <f>Strategie!$B$10*Renditen!S25</f>
        <v>-3.08416484E-3</v>
      </c>
      <c r="AD24" s="174">
        <f>Strategie!$B$11*Renditen!T25</f>
        <v>4.6240259200000002E-4</v>
      </c>
      <c r="AE24" s="174">
        <f>Strategie!$B$12*Renditen!U25</f>
        <v>-1.339103256E-3</v>
      </c>
      <c r="AF24" s="174">
        <f t="shared" si="1"/>
        <v>-1.3375396012000001E-2</v>
      </c>
    </row>
    <row r="25" spans="1:32" x14ac:dyDescent="0.25">
      <c r="A25" s="179">
        <f>Vermögen!A27</f>
        <v>44165</v>
      </c>
      <c r="B25" s="169">
        <f>SUM(Vermögen!B27:J27)</f>
        <v>1128153366.2830281</v>
      </c>
      <c r="C25" s="166">
        <f>Vermögen!B27/Gesamtvermögen!$B25</f>
        <v>1.2873597898865751E-2</v>
      </c>
      <c r="D25" s="166">
        <f>Vermögen!C27/Gesamtvermögen!$B25</f>
        <v>0.17741945136495843</v>
      </c>
      <c r="E25" s="166">
        <f>Vermögen!D27/Gesamtvermögen!$B25</f>
        <v>9.7547053158506911E-2</v>
      </c>
      <c r="F25" s="166">
        <f>Vermögen!E27/Gesamtvermögen!$B25</f>
        <v>0.16065721486705239</v>
      </c>
      <c r="G25" s="166">
        <f>Vermögen!F27/Gesamtvermögen!$B25</f>
        <v>0.18397284405045439</v>
      </c>
      <c r="H25" s="166">
        <f>Vermögen!G27/Gesamtvermögen!$B25</f>
        <v>0.11947827004615437</v>
      </c>
      <c r="I25" s="166">
        <f>Vermögen!H27/Gesamtvermögen!$B25</f>
        <v>6.7003440397407285E-2</v>
      </c>
      <c r="J25" s="166">
        <f>Vermögen!I27/Gesamtvermögen!$B25</f>
        <v>0.14805347444729591</v>
      </c>
      <c r="K25" s="166">
        <f>Vermögen!J27/Gesamtvermögen!$B25</f>
        <v>3.299465376930457E-2</v>
      </c>
      <c r="L25" s="171">
        <f>C24*Renditen!B26</f>
        <v>-4.5941899910239839E-5</v>
      </c>
      <c r="M25" s="171">
        <f>D24*Renditen!C26</f>
        <v>3.7110375989691722E-5</v>
      </c>
      <c r="N25" s="171">
        <f>E24*Renditen!D26</f>
        <v>3.6659835892773373E-3</v>
      </c>
      <c r="O25" s="171">
        <f>F24*Renditen!E26</f>
        <v>1.3065599083291586E-2</v>
      </c>
      <c r="P25" s="171">
        <f>G24*Renditen!F26</f>
        <v>2.0603672485620506E-2</v>
      </c>
      <c r="Q25" s="171">
        <f>H24*Renditen!G26</f>
        <v>9.1505152562024478E-3</v>
      </c>
      <c r="R25" s="171">
        <f>I24*Renditen!H26</f>
        <v>-8.6770920294977735E-4</v>
      </c>
      <c r="S25" s="171">
        <f>J24*Renditen!I26</f>
        <v>5.2477652710841173E-4</v>
      </c>
      <c r="T25" s="171">
        <f>K24*Renditen!J26</f>
        <v>-8.7538949409863987E-5</v>
      </c>
      <c r="U25" s="171">
        <f t="shared" si="0"/>
        <v>4.6046467265220103E-2</v>
      </c>
      <c r="W25" s="174">
        <f>Renditen!M26*Strategie!$B$4</f>
        <v>-1.3164661999999999E-5</v>
      </c>
      <c r="X25" s="175">
        <f>Strategie!$B$5*Renditen!N26</f>
        <v>1.5095478000000002E-4</v>
      </c>
      <c r="Y25" s="176">
        <f>Strategie!$B$6*Renditen!O26</f>
        <v>9.9229330000000018E-5</v>
      </c>
      <c r="Z25" s="174">
        <f>Strategie!$B$7*Renditen!P26</f>
        <v>1.0094485524E-2</v>
      </c>
      <c r="AA25" s="174">
        <f>Strategie!$B$8*Renditen!Q26</f>
        <v>1.9169423008000001E-2</v>
      </c>
      <c r="AB25" s="174">
        <f>Strategie!$B$9*Renditen!R26</f>
        <v>9.4893222239999988E-3</v>
      </c>
      <c r="AC25" s="174">
        <f>Strategie!$B$10*Renditen!S26</f>
        <v>1.3527899463999999E-2</v>
      </c>
      <c r="AD25" s="174">
        <f>Strategie!$B$11*Renditen!T26</f>
        <v>5.6453313599999998E-4</v>
      </c>
      <c r="AE25" s="174">
        <f>Strategie!$B$12*Renditen!U26</f>
        <v>4.8355201799999996E-3</v>
      </c>
      <c r="AF25" s="174">
        <f t="shared" si="1"/>
        <v>5.7918202984000001E-2</v>
      </c>
    </row>
    <row r="26" spans="1:32" x14ac:dyDescent="0.25">
      <c r="A26" s="179">
        <f>Vermögen!A28</f>
        <v>44196</v>
      </c>
      <c r="B26" s="169">
        <f>SUM(Vermögen!B28:J28)</f>
        <v>1158977832.1258719</v>
      </c>
      <c r="C26" s="166">
        <f>Vermögen!B28/Gesamtvermögen!$B26</f>
        <v>1.2461033684808782E-2</v>
      </c>
      <c r="D26" s="166">
        <f>Vermögen!C28/Gesamtvermögen!$B26</f>
        <v>0.17337429198535231</v>
      </c>
      <c r="E26" s="166">
        <f>Vermögen!D28/Gesamtvermögen!$B26</f>
        <v>9.6800900940148968E-2</v>
      </c>
      <c r="F26" s="166">
        <f>Vermögen!E28/Gesamtvermögen!$B26</f>
        <v>0.1602939435635318</v>
      </c>
      <c r="G26" s="166">
        <f>Vermögen!F28/Gesamtvermögen!$B26</f>
        <v>0.18515066315041614</v>
      </c>
      <c r="H26" s="166">
        <f>Vermögen!G28/Gesamtvermögen!$B26</f>
        <v>0.12185976441938069</v>
      </c>
      <c r="I26" s="166">
        <f>Vermögen!H28/Gesamtvermögen!$B26</f>
        <v>6.8958781016272078E-2</v>
      </c>
      <c r="J26" s="166">
        <f>Vermögen!I28/Gesamtvermögen!$B26</f>
        <v>0.14885721706427837</v>
      </c>
      <c r="K26" s="166">
        <f>Vermögen!J28/Gesamtvermögen!$B26</f>
        <v>3.2243404175811057E-2</v>
      </c>
      <c r="L26" s="171">
        <f>C25*Renditen!B27</f>
        <v>-7.2092148233648203E-5</v>
      </c>
      <c r="M26" s="171">
        <f>D25*Renditen!C27</f>
        <v>6.9193586032333782E-4</v>
      </c>
      <c r="N26" s="171">
        <f>E25*Renditen!D27</f>
        <v>1.8987329131885688E-3</v>
      </c>
      <c r="O26" s="171">
        <f>F25*Renditen!E27</f>
        <v>4.01643037167631E-3</v>
      </c>
      <c r="P26" s="171">
        <f>G25*Renditen!F27</f>
        <v>6.2366794133104034E-3</v>
      </c>
      <c r="Q26" s="171">
        <f>H25*Renditen!G27</f>
        <v>5.7110613082061792E-3</v>
      </c>
      <c r="R26" s="171">
        <f>I25*Renditen!H27</f>
        <v>3.8394972003441201E-3</v>
      </c>
      <c r="S26" s="171">
        <f>J25*Renditen!I27</f>
        <v>4.8709593093160357E-3</v>
      </c>
      <c r="T26" s="171">
        <f>K25*Renditen!J27</f>
        <v>1.2973497862090556E-4</v>
      </c>
      <c r="U26" s="171">
        <f t="shared" si="0"/>
        <v>2.7322939206752214E-2</v>
      </c>
      <c r="W26" s="174">
        <f>Renditen!M27*Strategie!$B$4</f>
        <v>-1.3682702000000001E-5</v>
      </c>
      <c r="X26" s="175">
        <f>Strategie!$B$5*Renditen!N27</f>
        <v>5.2794327999999998E-4</v>
      </c>
      <c r="Y26" s="176">
        <f>Strategie!$B$6*Renditen!O27</f>
        <v>3.1002500000000001E-6</v>
      </c>
      <c r="Z26" s="174">
        <f>Strategie!$B$7*Renditen!P27</f>
        <v>2.9943222599999996E-3</v>
      </c>
      <c r="AA26" s="174">
        <f>Strategie!$B$8*Renditen!Q27</f>
        <v>5.3935955680000005E-3</v>
      </c>
      <c r="AB26" s="174">
        <f>Strategie!$B$9*Renditen!R27</f>
        <v>5.7835728359999991E-3</v>
      </c>
      <c r="AC26" s="174">
        <f>Strategie!$B$10*Renditen!S27</f>
        <v>5.1028530479999999E-3</v>
      </c>
      <c r="AD26" s="174">
        <f>Strategie!$B$11*Renditen!T27</f>
        <v>1.2714961759999999E-3</v>
      </c>
      <c r="AE26" s="174">
        <f>Strategie!$B$12*Renditen!U27</f>
        <v>1.03633842E-3</v>
      </c>
      <c r="AF26" s="174">
        <f t="shared" si="1"/>
        <v>2.2099539136000001E-2</v>
      </c>
    </row>
    <row r="27" spans="1:32" x14ac:dyDescent="0.25">
      <c r="A27" s="179">
        <f>Vermögen!A29</f>
        <v>44227</v>
      </c>
      <c r="B27" s="169">
        <f>SUM(Vermögen!B29:J29)</f>
        <v>1159097363.0225551</v>
      </c>
      <c r="C27" s="166">
        <f>Vermögen!B29/Gesamtvermögen!$B27</f>
        <v>1.2472208400315292E-2</v>
      </c>
      <c r="D27" s="166">
        <f>Vermögen!C29/Gesamtvermögen!$B27</f>
        <v>0.17259364469707097</v>
      </c>
      <c r="E27" s="166">
        <f>Vermögen!D29/Gesamtvermögen!$B27</f>
        <v>9.5632669391282218E-2</v>
      </c>
      <c r="F27" s="166">
        <f>Vermögen!E29/Gesamtvermögen!$B27</f>
        <v>0.15864258377491125</v>
      </c>
      <c r="G27" s="166">
        <f>Vermögen!F29/Gesamtvermögen!$B27</f>
        <v>0.18363200393685794</v>
      </c>
      <c r="H27" s="166">
        <f>Vermögen!G29/Gesamtvermögen!$B27</f>
        <v>0.12613621909868095</v>
      </c>
      <c r="I27" s="166">
        <f>Vermögen!H29/Gesamtvermögen!$B27</f>
        <v>6.9362199704281161E-2</v>
      </c>
      <c r="J27" s="166">
        <f>Vermögen!I29/Gesamtvermögen!$B27</f>
        <v>0.14928839189350204</v>
      </c>
      <c r="K27" s="166">
        <f>Vermögen!J29/Gesamtvermögen!$B27</f>
        <v>3.2240079103098257E-2</v>
      </c>
      <c r="L27" s="171">
        <f>C26*Renditen!B28</f>
        <v>1.2461033684808782E-5</v>
      </c>
      <c r="M27" s="171">
        <f>D26*Renditen!C28</f>
        <v>-7.628468847355502E-4</v>
      </c>
      <c r="N27" s="171">
        <f>E26*Renditen!D28</f>
        <v>-1.1583684967809561E-3</v>
      </c>
      <c r="O27" s="171">
        <f>F26*Renditen!E28</f>
        <v>-1.6349982243480245E-3</v>
      </c>
      <c r="P27" s="171">
        <f>G26*Renditen!F28</f>
        <v>-1.4997203715183707E-3</v>
      </c>
      <c r="Q27" s="171">
        <f>H26*Renditen!G28</f>
        <v>4.289463707562201E-3</v>
      </c>
      <c r="R27" s="171">
        <f>I26*Renditen!H28</f>
        <v>4.1057234159655248E-4</v>
      </c>
      <c r="S27" s="171">
        <f>J26*Renditen!I28</f>
        <v>4.4657165119283511E-4</v>
      </c>
      <c r="T27" s="171">
        <f>K26*Renditen!J28</f>
        <v>-1.0739210912484204E-17</v>
      </c>
      <c r="U27" s="171">
        <f t="shared" si="0"/>
        <v>1.031347566534857E-4</v>
      </c>
      <c r="W27" s="174">
        <f>Renditen!M28*Strategie!$B$4</f>
        <v>-1.3199927999999999E-5</v>
      </c>
      <c r="X27" s="175">
        <f>Strategie!$B$5*Renditen!N28</f>
        <v>0</v>
      </c>
      <c r="Y27" s="176">
        <f>Strategie!$B$6*Renditen!O28</f>
        <v>-8.4736249000000015E-4</v>
      </c>
      <c r="Z27" s="174">
        <f>Strategie!$B$7*Renditen!P28</f>
        <v>-1.2150469559999999E-3</v>
      </c>
      <c r="AA27" s="174">
        <f>Strategie!$B$8*Renditen!Q28</f>
        <v>-1.342525392E-3</v>
      </c>
      <c r="AB27" s="174">
        <f>Strategie!$B$9*Renditen!R28</f>
        <v>4.4695684919999999E-3</v>
      </c>
      <c r="AC27" s="174">
        <f>Strategie!$B$10*Renditen!S28</f>
        <v>1.998491488E-3</v>
      </c>
      <c r="AD27" s="174">
        <f>Strategie!$B$11*Renditen!T28</f>
        <v>6.2387414400000003E-4</v>
      </c>
      <c r="AE27" s="174">
        <f>Strategie!$B$12*Renditen!U28</f>
        <v>-2.2712524400000001E-4</v>
      </c>
      <c r="AF27" s="174">
        <f t="shared" si="1"/>
        <v>3.4466741139999998E-3</v>
      </c>
    </row>
    <row r="28" spans="1:32" x14ac:dyDescent="0.25">
      <c r="A28" s="179">
        <f>Vermögen!A30</f>
        <v>44255</v>
      </c>
      <c r="B28" s="169">
        <f>SUM(Vermögen!B30:J30)</f>
        <v>1165319912.097172</v>
      </c>
      <c r="C28" s="166">
        <f>Vermögen!B30/Gesamtvermögen!$B28</f>
        <v>1.2419255752767977E-2</v>
      </c>
      <c r="D28" s="166">
        <f>Vermögen!C30/Gesamtvermögen!$B28</f>
        <v>0.16887377889394453</v>
      </c>
      <c r="E28" s="166">
        <f>Vermögen!D30/Gesamtvermögen!$B28</f>
        <v>9.2985571818430715E-2</v>
      </c>
      <c r="F28" s="166">
        <f>Vermögen!E30/Gesamtvermögen!$B28</f>
        <v>0.15710116761400161</v>
      </c>
      <c r="G28" s="166">
        <f>Vermögen!F30/Gesamtvermögen!$B28</f>
        <v>0.18758303903661019</v>
      </c>
      <c r="H28" s="166">
        <f>Vermögen!G30/Gesamtvermögen!$B28</f>
        <v>0.12878744076440621</v>
      </c>
      <c r="I28" s="166">
        <f>Vermögen!H30/Gesamtvermögen!$B28</f>
        <v>7.0201860272412278E-2</v>
      </c>
      <c r="J28" s="166">
        <f>Vermögen!I30/Gesamtvermögen!$B28</f>
        <v>0.14893669876919122</v>
      </c>
      <c r="K28" s="166">
        <f>Vermögen!J30/Gesamtvermögen!$B28</f>
        <v>3.3111187078235467E-2</v>
      </c>
      <c r="L28" s="171">
        <f>C27*Renditen!B29</f>
        <v>1.3719429240346822E-5</v>
      </c>
      <c r="M28" s="171">
        <f>D27*Renditen!C29</f>
        <v>-2.8132764085622565E-3</v>
      </c>
      <c r="N28" s="171">
        <f>E27*Renditen!D29</f>
        <v>-2.1479097545281985E-3</v>
      </c>
      <c r="O28" s="171">
        <f>F27*Renditen!E29</f>
        <v>-6.9802736860960957E-4</v>
      </c>
      <c r="P28" s="171">
        <f>G27*Renditen!F29</f>
        <v>4.9580641062951644E-3</v>
      </c>
      <c r="Q28" s="171">
        <f>H27*Renditen!G29</f>
        <v>3.3426098061150448E-3</v>
      </c>
      <c r="R28" s="171">
        <f>I27*Renditen!H29</f>
        <v>1.2165353110218627E-3</v>
      </c>
      <c r="S28" s="171">
        <f>J27*Renditen!I29</f>
        <v>4.4786517568050615E-4</v>
      </c>
      <c r="T28" s="171">
        <f>K27*Renditen!J29</f>
        <v>1.0488635227608109E-3</v>
      </c>
      <c r="U28" s="171">
        <f t="shared" si="0"/>
        <v>5.3684438194136711E-3</v>
      </c>
      <c r="W28" s="174">
        <f>Renditen!M29*Strategie!$B$4</f>
        <v>-1.2241302E-5</v>
      </c>
      <c r="X28" s="175">
        <f>Strategie!$B$5*Renditen!N29</f>
        <v>-1.2787723800000001E-3</v>
      </c>
      <c r="Y28" s="176">
        <f>Strategie!$B$6*Renditen!O29</f>
        <v>-2.2835597600000001E-3</v>
      </c>
      <c r="Z28" s="174">
        <f>Strategie!$B$7*Renditen!P29</f>
        <v>-5.3255797199999993E-4</v>
      </c>
      <c r="AA28" s="174">
        <f>Strategie!$B$8*Renditen!Q29</f>
        <v>4.295842288E-3</v>
      </c>
      <c r="AB28" s="174">
        <f>Strategie!$B$9*Renditen!R29</f>
        <v>3.0518214480000001E-3</v>
      </c>
      <c r="AC28" s="174">
        <f>Strategie!$B$10*Renditen!S29</f>
        <v>5.1396335680000006E-3</v>
      </c>
      <c r="AD28" s="174">
        <f>Strategie!$B$11*Renditen!T29</f>
        <v>4.5275366400000002E-4</v>
      </c>
      <c r="AE28" s="174">
        <f>Strategie!$B$12*Renditen!U29</f>
        <v>1.588078532E-3</v>
      </c>
      <c r="AF28" s="174">
        <f t="shared" si="1"/>
        <v>1.0420998086E-2</v>
      </c>
    </row>
    <row r="29" spans="1:32" x14ac:dyDescent="0.25">
      <c r="A29" s="179">
        <f>Vermögen!A31</f>
        <v>44286</v>
      </c>
      <c r="B29" s="169">
        <f>SUM(Vermögen!B31:J31)</f>
        <v>1204064145.0442097</v>
      </c>
      <c r="C29" s="166">
        <f>Vermögen!B31/Gesamtvermögen!$B29</f>
        <v>1.2004004897736089E-2</v>
      </c>
      <c r="D29" s="166">
        <f>Vermögen!C31/Gesamtvermögen!$B29</f>
        <v>0.16425697740117326</v>
      </c>
      <c r="E29" s="166">
        <f>Vermögen!D31/Gesamtvermögen!$B29</f>
        <v>8.8895078128081492E-2</v>
      </c>
      <c r="F29" s="166">
        <f>Vermögen!E31/Gesamtvermögen!$B29</f>
        <v>0.16223306590450631</v>
      </c>
      <c r="G29" s="166">
        <f>Vermögen!F31/Gesamtvermögen!$B29</f>
        <v>0.18913567949999358</v>
      </c>
      <c r="H29" s="166">
        <f>Vermögen!G31/Gesamtvermögen!$B29</f>
        <v>0.1275724521472246</v>
      </c>
      <c r="I29" s="166">
        <f>Vermögen!H31/Gesamtvermögen!$B29</f>
        <v>7.9284383097938338E-2</v>
      </c>
      <c r="J29" s="166">
        <f>Vermögen!I31/Gesamtvermögen!$B29</f>
        <v>0.14457666407259265</v>
      </c>
      <c r="K29" s="166">
        <f>Vermögen!J31/Gesamtvermögen!$B29</f>
        <v>3.2041694850753637E-2</v>
      </c>
      <c r="L29" s="171">
        <f>C28*Renditen!B30</f>
        <v>-1.6145032478598369E-5</v>
      </c>
      <c r="M29" s="171">
        <f>D28*Renditen!C30</f>
        <v>8.4436889446972265E-4</v>
      </c>
      <c r="N29" s="171">
        <f>E28*Renditen!D30</f>
        <v>-1.1349348098344438E-3</v>
      </c>
      <c r="O29" s="171">
        <f>F28*Renditen!E30</f>
        <v>1.0525778230138109E-2</v>
      </c>
      <c r="P29" s="171">
        <f>G28*Renditen!F30</f>
        <v>7.8409710317303063E-3</v>
      </c>
      <c r="Q29" s="171">
        <f>H28*Renditen!G30</f>
        <v>3.0265048579635459E-3</v>
      </c>
      <c r="R29" s="171">
        <f>I28*Renditen!H30</f>
        <v>1.1718547985587488E-2</v>
      </c>
      <c r="S29" s="171">
        <f>J28*Renditen!I30</f>
        <v>4.4681009630757364E-4</v>
      </c>
      <c r="T29" s="171">
        <f>K28*Renditen!J30</f>
        <v>-4.1788517914158577E-6</v>
      </c>
      <c r="U29" s="171">
        <f t="shared" si="0"/>
        <v>3.324772240209229E-2</v>
      </c>
      <c r="W29" s="174">
        <f>Renditen!M30*Strategie!$B$4</f>
        <v>-1.3621508E-5</v>
      </c>
      <c r="X29" s="175">
        <f>Strategie!$B$5*Renditen!N30</f>
        <v>6.9649482000000006E-4</v>
      </c>
      <c r="Y29" s="176">
        <f>Strategie!$B$6*Renditen!O30</f>
        <v>-2.9071697000000003E-4</v>
      </c>
      <c r="Z29" s="174">
        <f>Strategie!$B$7*Renditen!P30</f>
        <v>8.0457242759999995E-3</v>
      </c>
      <c r="AA29" s="174">
        <f>Strategie!$B$8*Renditen!Q30</f>
        <v>6.6636971040000001E-3</v>
      </c>
      <c r="AB29" s="174">
        <f>Strategie!$B$9*Renditen!R30</f>
        <v>2.8677973080000001E-3</v>
      </c>
      <c r="AC29" s="174">
        <f>Strategie!$B$10*Renditen!S30</f>
        <v>8.3413274159999991E-3</v>
      </c>
      <c r="AD29" s="174">
        <f>Strategie!$B$11*Renditen!T30</f>
        <v>7.3933047999999999E-4</v>
      </c>
      <c r="AE29" s="174">
        <f>Strategie!$B$12*Renditen!U30</f>
        <v>1.6215933480000001E-3</v>
      </c>
      <c r="AF29" s="174">
        <f t="shared" si="1"/>
        <v>2.8671626274000002E-2</v>
      </c>
    </row>
    <row r="30" spans="1:32" x14ac:dyDescent="0.25">
      <c r="A30" s="179">
        <f>Vermögen!A32</f>
        <v>44316</v>
      </c>
      <c r="B30" s="169">
        <f>SUM(Vermögen!B32:J32)</f>
        <v>1213498133.729862</v>
      </c>
      <c r="C30" s="166">
        <f>Vermögen!B32/Gesamtvermögen!$B30</f>
        <v>1.1836837013011867E-2</v>
      </c>
      <c r="D30" s="166">
        <f>Vermögen!C32/Gesamtvermögen!$B30</f>
        <v>0.16268664523494508</v>
      </c>
      <c r="E30" s="166">
        <f>Vermögen!D32/Gesamtvermögen!$B30</f>
        <v>8.9773492164237495E-2</v>
      </c>
      <c r="F30" s="166">
        <f>Vermögen!E32/Gesamtvermögen!$B30</f>
        <v>0.16283910531883472</v>
      </c>
      <c r="G30" s="166">
        <f>Vermögen!F32/Gesamtvermögen!$B30</f>
        <v>0.19505931189379835</v>
      </c>
      <c r="H30" s="166">
        <f>Vermögen!G32/Gesamtvermögen!$B30</f>
        <v>0.12555537369619008</v>
      </c>
      <c r="I30" s="166">
        <f>Vermögen!H32/Gesamtvermögen!$B30</f>
        <v>7.6215147800996225E-2</v>
      </c>
      <c r="J30" s="166">
        <f>Vermögen!I32/Gesamtvermögen!$B30</f>
        <v>0.14388305288571476</v>
      </c>
      <c r="K30" s="166">
        <f>Vermögen!J32/Gesamtvermögen!$B30</f>
        <v>3.2151033992271406E-2</v>
      </c>
      <c r="L30" s="171">
        <f>C29*Renditen!B31</f>
        <v>-7.4424830365963751E-5</v>
      </c>
      <c r="M30" s="171">
        <f>D29*Renditen!C31</f>
        <v>-2.9566255932211188E-4</v>
      </c>
      <c r="N30" s="171">
        <f>E29*Renditen!D31</f>
        <v>1.5818002409813214E-3</v>
      </c>
      <c r="O30" s="171">
        <f>F29*Renditen!E31</f>
        <v>1.8819035644922731E-3</v>
      </c>
      <c r="P30" s="171">
        <f>G29*Renditen!F31</f>
        <v>7.4519457722997465E-3</v>
      </c>
      <c r="Q30" s="171">
        <f>H29*Renditen!G31</f>
        <v>-1.0333368623925191E-3</v>
      </c>
      <c r="R30" s="171">
        <f>I29*Renditen!H31</f>
        <v>-2.4720803654633455E-3</v>
      </c>
      <c r="S30" s="171">
        <f>J29*Renditen!I31</f>
        <v>4.3372999221777793E-4</v>
      </c>
      <c r="T30" s="171">
        <f>K29*Renditen!J31</f>
        <v>3.6124639426963828E-4</v>
      </c>
      <c r="U30" s="171">
        <f t="shared" si="0"/>
        <v>7.8351213467168172E-3</v>
      </c>
      <c r="W30" s="174">
        <f>Renditen!M31*Strategie!$B$4</f>
        <v>-1.3842121999999999E-5</v>
      </c>
      <c r="X30" s="175">
        <f>Strategie!$B$5*Renditen!N31</f>
        <v>-1.9615240000000003E-4</v>
      </c>
      <c r="Y30" s="176">
        <f>Strategie!$B$6*Renditen!O31</f>
        <v>-6.9642239999999998E-5</v>
      </c>
      <c r="Z30" s="174">
        <f>Strategie!$B$7*Renditen!P31</f>
        <v>1.405065E-3</v>
      </c>
      <c r="AA30" s="174">
        <f>Strategie!$B$8*Renditen!Q31</f>
        <v>6.3014753120000004E-3</v>
      </c>
      <c r="AB30" s="174">
        <f>Strategie!$B$9*Renditen!R31</f>
        <v>-8.149307999999999E-4</v>
      </c>
      <c r="AC30" s="174">
        <f>Strategie!$B$10*Renditen!S31</f>
        <v>5.7627511440000003E-3</v>
      </c>
      <c r="AD30" s="174">
        <f>Strategie!$B$11*Renditen!T31</f>
        <v>4.6978246400000001E-4</v>
      </c>
      <c r="AE30" s="174">
        <f>Strategie!$B$12*Renditen!U31</f>
        <v>2.2380856639999998E-3</v>
      </c>
      <c r="AF30" s="174">
        <f t="shared" si="1"/>
        <v>1.5082592022000001E-2</v>
      </c>
    </row>
    <row r="31" spans="1:32" x14ac:dyDescent="0.25">
      <c r="A31" s="179">
        <f>Vermögen!A33</f>
        <v>44347</v>
      </c>
      <c r="B31" s="169">
        <f>SUM(Vermögen!B33:J33)</f>
        <v>1223791263.518131</v>
      </c>
      <c r="C31" s="166">
        <f>Vermögen!B33/Gesamtvermögen!$B31</f>
        <v>1.1724368096663464E-2</v>
      </c>
      <c r="D31" s="166">
        <f>Vermögen!C33/Gesamtvermögen!$B31</f>
        <v>0.16080209299783196</v>
      </c>
      <c r="E31" s="166">
        <f>Vermögen!D33/Gesamtvermögen!$B31</f>
        <v>8.9857100151292821E-2</v>
      </c>
      <c r="F31" s="166">
        <f>Vermögen!E33/Gesamtvermögen!$B31</f>
        <v>0.16705633369113279</v>
      </c>
      <c r="G31" s="166">
        <f>Vermögen!F33/Gesamtvermögen!$B31</f>
        <v>0.19517880661505421</v>
      </c>
      <c r="H31" s="166">
        <f>Vermögen!G33/Gesamtvermögen!$B31</f>
        <v>0.12560738994160939</v>
      </c>
      <c r="I31" s="166">
        <f>Vermögen!H33/Gesamtvermögen!$B31</f>
        <v>7.4524442383843051E-2</v>
      </c>
      <c r="J31" s="166">
        <f>Vermögen!I33/Gesamtvermögen!$B31</f>
        <v>0.14310089213840169</v>
      </c>
      <c r="K31" s="166">
        <f>Vermögen!J33/Gesamtvermögen!$B31</f>
        <v>3.2148573984170821E-2</v>
      </c>
      <c r="L31" s="171">
        <f>C30*Renditen!B32</f>
        <v>-1.3020520714313054E-5</v>
      </c>
      <c r="M31" s="171">
        <f>D30*Renditen!C32</f>
        <v>-5.2059726475182434E-4</v>
      </c>
      <c r="N31" s="171">
        <f>E30*Renditen!D32</f>
        <v>8.4579357972031186E-4</v>
      </c>
      <c r="O31" s="171">
        <f>F30*Renditen!E32</f>
        <v>5.6342330440316809E-3</v>
      </c>
      <c r="P31" s="171">
        <f>G30*Renditen!F32</f>
        <v>1.7750397382335652E-3</v>
      </c>
      <c r="Q31" s="171">
        <f>H30*Renditen!G32</f>
        <v>1.1174428258960917E-3</v>
      </c>
      <c r="R31" s="171">
        <f>I30*Renditen!H32</f>
        <v>-1.0585744426311943E-3</v>
      </c>
      <c r="S31" s="171">
        <f>J30*Renditen!I32</f>
        <v>4.3164915865714432E-4</v>
      </c>
      <c r="T31" s="171">
        <f>K30*Renditen!J32</f>
        <v>2.7023051801480531E-4</v>
      </c>
      <c r="U31" s="171">
        <f t="shared" si="0"/>
        <v>8.482196636456267E-3</v>
      </c>
      <c r="W31" s="174">
        <f>Renditen!M32*Strategie!$B$4</f>
        <v>-1.4486137999999999E-5</v>
      </c>
      <c r="X31" s="175">
        <f>Strategie!$B$5*Renditen!N32</f>
        <v>-3.0206919999999998E-5</v>
      </c>
      <c r="Y31" s="176">
        <f>Strategie!$B$6*Renditen!O32</f>
        <v>9.9051060000000002E-5</v>
      </c>
      <c r="Z31" s="174">
        <f>Strategie!$B$7*Renditen!P32</f>
        <v>4.1459301720000001E-3</v>
      </c>
      <c r="AA31" s="174">
        <f>Strategie!$B$8*Renditen!Q32</f>
        <v>1.421871136E-3</v>
      </c>
      <c r="AB31" s="174">
        <f>Strategie!$B$9*Renditen!R32</f>
        <v>1.07309208E-3</v>
      </c>
      <c r="AC31" s="174">
        <f>Strategie!$B$10*Renditen!S32</f>
        <v>1.582133184E-3</v>
      </c>
      <c r="AD31" s="174">
        <f>Strategie!$B$11*Renditen!T32</f>
        <v>6.8104862399999996E-4</v>
      </c>
      <c r="AE31" s="174">
        <f>Strategie!$B$12*Renditen!U32</f>
        <v>5.2939776400000001E-4</v>
      </c>
      <c r="AF31" s="174">
        <f t="shared" si="1"/>
        <v>9.4878309619999997E-3</v>
      </c>
    </row>
    <row r="32" spans="1:32" x14ac:dyDescent="0.25">
      <c r="A32" s="179">
        <f>Vermögen!A34</f>
        <v>44377</v>
      </c>
      <c r="B32" s="169">
        <f>SUM(Vermögen!B34:J34)</f>
        <v>1258324668.3643332</v>
      </c>
      <c r="C32" s="166">
        <f>Vermögen!B34/Gesamtvermögen!$B32</f>
        <v>1.1398044030967034E-2</v>
      </c>
      <c r="D32" s="166">
        <f>Vermögen!C34/Gesamtvermögen!$B32</f>
        <v>0.15709279840128704</v>
      </c>
      <c r="E32" s="166">
        <f>Vermögen!D34/Gesamtvermögen!$B32</f>
        <v>8.7727521594343563E-2</v>
      </c>
      <c r="F32" s="166">
        <f>Vermögen!E34/Gesamtvermögen!$B32</f>
        <v>0.16997783738796518</v>
      </c>
      <c r="G32" s="166">
        <f>Vermögen!F34/Gesamtvermögen!$B32</f>
        <v>0.19405536626427475</v>
      </c>
      <c r="H32" s="166">
        <f>Vermögen!G34/Gesamtvermögen!$B32</f>
        <v>0.12565400893370321</v>
      </c>
      <c r="I32" s="166">
        <f>Vermögen!H34/Gesamtvermögen!$B32</f>
        <v>8.2367815069286462E-2</v>
      </c>
      <c r="J32" s="166">
        <f>Vermögen!I34/Gesamtvermögen!$B32</f>
        <v>0.13959115869019151</v>
      </c>
      <c r="K32" s="166">
        <f>Vermögen!J34/Gesamtvermögen!$B32</f>
        <v>3.2135449627981268E-2</v>
      </c>
      <c r="L32" s="171">
        <f>C31*Renditen!B33</f>
        <v>-4.6897472386653857E-6</v>
      </c>
      <c r="M32" s="171">
        <f>D31*Renditen!C33</f>
        <v>7.2360941849024382E-4</v>
      </c>
      <c r="N32" s="171">
        <f>E31*Renditen!D33</f>
        <v>3.4594983558247736E-4</v>
      </c>
      <c r="O32" s="171">
        <f>F31*Renditen!E33</f>
        <v>7.7180026165303344E-3</v>
      </c>
      <c r="P32" s="171">
        <f>G31*Renditen!F33</f>
        <v>4.3524873875157091E-3</v>
      </c>
      <c r="Q32" s="171">
        <f>H31*Renditen!G33</f>
        <v>3.5923713523300285E-3</v>
      </c>
      <c r="R32" s="171">
        <f>I31*Renditen!H33</f>
        <v>1.016765885162149E-2</v>
      </c>
      <c r="S32" s="171">
        <f>J31*Renditen!I33</f>
        <v>4.2930267641520505E-4</v>
      </c>
      <c r="T32" s="171">
        <f>K31*Renditen!J33</f>
        <v>8.9368591856885181E-4</v>
      </c>
      <c r="U32" s="171">
        <f t="shared" si="0"/>
        <v>2.8218378309815672E-2</v>
      </c>
      <c r="W32" s="174">
        <f>Renditen!M33*Strategie!$B$4</f>
        <v>-1.3949928E-5</v>
      </c>
      <c r="X32" s="175">
        <f>Strategie!$B$5*Renditen!N33</f>
        <v>1.9637461999999999E-4</v>
      </c>
      <c r="Y32" s="176">
        <f>Strategie!$B$6*Renditen!O33</f>
        <v>4.8259036E-4</v>
      </c>
      <c r="Z32" s="174">
        <f>Strategie!$B$7*Renditen!P33</f>
        <v>5.5468849559999998E-3</v>
      </c>
      <c r="AA32" s="174">
        <f>Strategie!$B$8*Renditen!Q33</f>
        <v>3.5755648000000001E-3</v>
      </c>
      <c r="AB32" s="174">
        <f>Strategie!$B$9*Renditen!R33</f>
        <v>3.5483448959999996E-3</v>
      </c>
      <c r="AC32" s="174">
        <f>Strategie!$B$10*Renditen!S33</f>
        <v>3.7530689520000001E-3</v>
      </c>
      <c r="AD32" s="174">
        <f>Strategie!$B$11*Renditen!T33</f>
        <v>6.9256903999999992E-4</v>
      </c>
      <c r="AE32" s="174">
        <f>Strategie!$B$12*Renditen!U33</f>
        <v>7.3109993999999996E-4</v>
      </c>
      <c r="AF32" s="174">
        <f t="shared" si="1"/>
        <v>1.8512547636E-2</v>
      </c>
    </row>
    <row r="33" spans="1:32" x14ac:dyDescent="0.25">
      <c r="A33" s="179">
        <f>Vermögen!A35</f>
        <v>44408</v>
      </c>
      <c r="B33" s="169">
        <f>SUM(Vermögen!B35:J35)</f>
        <v>1252450338.5839548</v>
      </c>
      <c r="C33" s="166">
        <f>Vermögen!B35/Gesamtvermögen!$B33</f>
        <v>1.1370198252766627E-2</v>
      </c>
      <c r="D33" s="166">
        <f>Vermögen!C35/Gesamtvermögen!$B33</f>
        <v>0.15983404197796855</v>
      </c>
      <c r="E33" s="166">
        <f>Vermögen!D35/Gesamtvermögen!$B33</f>
        <v>8.806278072974387E-2</v>
      </c>
      <c r="F33" s="166">
        <f>Vermögen!E35/Gesamtvermögen!$B33</f>
        <v>0.173353782972719</v>
      </c>
      <c r="G33" s="166">
        <f>Vermögen!F35/Gesamtvermögen!$B33</f>
        <v>0.19810448342020373</v>
      </c>
      <c r="H33" s="166">
        <f>Vermögen!G35/Gesamtvermögen!$B33</f>
        <v>0.1154116798172375</v>
      </c>
      <c r="I33" s="166">
        <f>Vermögen!H35/Gesamtvermögen!$B33</f>
        <v>8.1130461362381195E-2</v>
      </c>
      <c r="J33" s="166">
        <f>Vermögen!I35/Gesamtvermögen!$B33</f>
        <v>0.14066661649835535</v>
      </c>
      <c r="K33" s="166">
        <f>Vermögen!J35/Gesamtvermögen!$B33</f>
        <v>3.2065954968624251E-2</v>
      </c>
      <c r="L33" s="171">
        <f>C32*Renditen!B34</f>
        <v>-8.0926112619865952E-5</v>
      </c>
      <c r="M33" s="171">
        <f>D32*Renditen!C34</f>
        <v>1.9950785396963453E-3</v>
      </c>
      <c r="N33" s="171">
        <f>E32*Renditen!D34</f>
        <v>-7.5850833584161279E-5</v>
      </c>
      <c r="O33" s="171">
        <f>F32*Renditen!E34</f>
        <v>2.5666653445582744E-3</v>
      </c>
      <c r="P33" s="171">
        <f>G32*Renditen!F34</f>
        <v>3.1242913968548233E-3</v>
      </c>
      <c r="Q33" s="171">
        <f>H32*Renditen!G34</f>
        <v>-1.0781113966511735E-2</v>
      </c>
      <c r="R33" s="171">
        <f>I32*Renditen!H34</f>
        <v>-1.6161010185163193E-3</v>
      </c>
      <c r="S33" s="171">
        <f>J32*Renditen!I34</f>
        <v>4.1877347607057451E-4</v>
      </c>
      <c r="T33" s="171">
        <f>K32*Renditen!J34</f>
        <v>-2.191905200074446E-4</v>
      </c>
      <c r="U33" s="171">
        <f t="shared" si="0"/>
        <v>-4.6683736940595086E-3</v>
      </c>
      <c r="W33" s="174">
        <f>Renditen!M34*Strategie!$B$4</f>
        <v>-1.3959666E-5</v>
      </c>
      <c r="X33" s="175">
        <f>Strategie!$B$5*Renditen!N34</f>
        <v>1.02618276E-3</v>
      </c>
      <c r="Y33" s="176">
        <f>Strategie!$B$6*Renditen!O34</f>
        <v>1.3884854000000002E-3</v>
      </c>
      <c r="Z33" s="174">
        <f>Strategie!$B$7*Renditen!P34</f>
        <v>1.80785232E-3</v>
      </c>
      <c r="AA33" s="174">
        <f>Strategie!$B$8*Renditen!Q34</f>
        <v>2.6039090559999999E-3</v>
      </c>
      <c r="AB33" s="174">
        <f>Strategie!$B$9*Renditen!R34</f>
        <v>-1.0261474344E-2</v>
      </c>
      <c r="AC33" s="174">
        <f>Strategie!$B$10*Renditen!S34</f>
        <v>4.3709355999999996E-3</v>
      </c>
      <c r="AD33" s="174">
        <f>Strategie!$B$11*Renditen!T34</f>
        <v>7.1869190400000011E-4</v>
      </c>
      <c r="AE33" s="174">
        <f>Strategie!$B$12*Renditen!U34</f>
        <v>1.4784053159999999E-3</v>
      </c>
      <c r="AF33" s="174">
        <f t="shared" si="1"/>
        <v>3.1190283460000006E-3</v>
      </c>
    </row>
    <row r="34" spans="1:32" x14ac:dyDescent="0.25">
      <c r="A34" s="179">
        <f>Vermögen!A36</f>
        <v>44439</v>
      </c>
      <c r="B34" s="169">
        <f>SUM(Vermögen!B36:J36)</f>
        <v>1271280570.3253975</v>
      </c>
      <c r="C34" s="166">
        <f>Vermögen!B36/Gesamtvermögen!$B34</f>
        <v>1.1189460701257035E-2</v>
      </c>
      <c r="D34" s="166">
        <f>Vermögen!C36/Gesamtvermögen!$B34</f>
        <v>0.15697843074994175</v>
      </c>
      <c r="E34" s="166">
        <f>Vermögen!D36/Gesamtvermögen!$B34</f>
        <v>8.7549996268659003E-2</v>
      </c>
      <c r="F34" s="166">
        <f>Vermögen!E36/Gesamtvermögen!$B34</f>
        <v>0.17485077178640063</v>
      </c>
      <c r="G34" s="166">
        <f>Vermögen!F36/Gesamtvermögen!$B34</f>
        <v>0.20034216521834403</v>
      </c>
      <c r="H34" s="166">
        <f>Vermögen!G36/Gesamtvermögen!$B34</f>
        <v>0.11757944485763064</v>
      </c>
      <c r="I34" s="166">
        <f>Vermögen!H36/Gesamtvermögen!$B34</f>
        <v>8.0775556788234365E-2</v>
      </c>
      <c r="J34" s="166">
        <f>Vermögen!I36/Gesamtvermögen!$B34</f>
        <v>0.13899880910629908</v>
      </c>
      <c r="K34" s="166">
        <f>Vermögen!J36/Gesamtvermögen!$B34</f>
        <v>3.1735364523233424E-2</v>
      </c>
      <c r="L34" s="171">
        <f>C33*Renditen!B35</f>
        <v>-1.250721807804329E-5</v>
      </c>
      <c r="M34" s="171">
        <f>D33*Renditen!C35</f>
        <v>-4.9548553013170247E-4</v>
      </c>
      <c r="N34" s="171">
        <f>E33*Renditen!D35</f>
        <v>8.0350463071674123E-4</v>
      </c>
      <c r="O34" s="171">
        <f>F33*Renditen!E35</f>
        <v>4.1258200347507124E-3</v>
      </c>
      <c r="P34" s="171">
        <f>G33*Renditen!F35</f>
        <v>5.2497688106353984E-3</v>
      </c>
      <c r="Q34" s="171">
        <f>H33*Renditen!G35</f>
        <v>3.9355382817677989E-3</v>
      </c>
      <c r="R34" s="171">
        <f>I33*Renditen!H35</f>
        <v>8.5953276241550994E-4</v>
      </c>
      <c r="S34" s="171">
        <f>J33*Renditen!I35</f>
        <v>4.2199984949506608E-4</v>
      </c>
      <c r="T34" s="171">
        <f>K33*Renditen!J35</f>
        <v>1.4654166113827505E-4</v>
      </c>
      <c r="U34" s="171">
        <f t="shared" si="0"/>
        <v>1.5034713282709755E-2</v>
      </c>
      <c r="W34" s="174">
        <f>Renditen!M35*Strategie!$B$4</f>
        <v>-1.3845792E-5</v>
      </c>
      <c r="X34" s="175">
        <f>Strategie!$B$5*Renditen!N35</f>
        <v>-1.9518054E-4</v>
      </c>
      <c r="Y34" s="176">
        <f>Strategie!$B$6*Renditen!O35</f>
        <v>-3.8945552000000001E-4</v>
      </c>
      <c r="Z34" s="174">
        <f>Strategie!$B$7*Renditen!P35</f>
        <v>2.8458120479999999E-3</v>
      </c>
      <c r="AA34" s="174">
        <f>Strategie!$B$8*Renditen!Q35</f>
        <v>4.2138315359999999E-3</v>
      </c>
      <c r="AB34" s="174">
        <f>Strategie!$B$9*Renditen!R35</f>
        <v>4.4659345799999998E-3</v>
      </c>
      <c r="AC34" s="174">
        <f>Strategie!$B$10*Renditen!S35</f>
        <v>2.7128175680000001E-3</v>
      </c>
      <c r="AD34" s="174">
        <f>Strategie!$B$11*Renditen!T35</f>
        <v>6.7102280000000002E-4</v>
      </c>
      <c r="AE34" s="174">
        <f>Strategie!$B$12*Renditen!U35</f>
        <v>5.8203177199999995E-4</v>
      </c>
      <c r="AF34" s="174">
        <f t="shared" si="1"/>
        <v>1.4892968452000001E-2</v>
      </c>
    </row>
    <row r="35" spans="1:32" x14ac:dyDescent="0.25">
      <c r="A35" s="179">
        <f>Vermögen!A37</f>
        <v>44469</v>
      </c>
      <c r="B35" s="169">
        <f>SUM(Vermögen!B37:J37)</f>
        <v>1255139038.308949</v>
      </c>
      <c r="C35" s="166">
        <f>Vermögen!B37/Gesamtvermögen!$B35</f>
        <v>1.1305027721144124E-2</v>
      </c>
      <c r="D35" s="166">
        <f>Vermögen!C37/Gesamtvermögen!$B35</f>
        <v>0.15656457129566312</v>
      </c>
      <c r="E35" s="166">
        <f>Vermögen!D37/Gesamtvermögen!$B35</f>
        <v>8.685434596741981E-2</v>
      </c>
      <c r="F35" s="166">
        <f>Vermögen!E37/Gesamtvermögen!$B35</f>
        <v>0.16707558769780942</v>
      </c>
      <c r="G35" s="166">
        <f>Vermögen!F37/Gesamtvermögen!$B35</f>
        <v>0.19537006305913909</v>
      </c>
      <c r="H35" s="166">
        <f>Vermögen!G37/Gesamtvermögen!$B35</f>
        <v>0.11647154383177682</v>
      </c>
      <c r="I35" s="166">
        <f>Vermögen!H37/Gesamtvermögen!$B35</f>
        <v>9.21216293171256E-2</v>
      </c>
      <c r="J35" s="166">
        <f>Vermögen!I37/Gesamtvermögen!$B35</f>
        <v>0.14120874210871789</v>
      </c>
      <c r="K35" s="166">
        <f>Vermögen!J37/Gesamtvermögen!$B35</f>
        <v>3.3028489001204045E-2</v>
      </c>
      <c r="L35" s="171">
        <f>C34*Renditen!B36</f>
        <v>-2.797365175314259E-5</v>
      </c>
      <c r="M35" s="171">
        <f>D34*Renditen!C36</f>
        <v>-2.4017699904741088E-3</v>
      </c>
      <c r="N35" s="171">
        <f>E34*Renditen!D36</f>
        <v>-1.7984455762758791E-3</v>
      </c>
      <c r="O35" s="171">
        <f>F34*Renditen!E36</f>
        <v>-9.8965536831102756E-3</v>
      </c>
      <c r="P35" s="171">
        <f>G34*Renditen!F36</f>
        <v>-7.4527285461223969E-3</v>
      </c>
      <c r="Q35" s="171">
        <f>H34*Renditen!G36</f>
        <v>-2.5867477868678737E-3</v>
      </c>
      <c r="R35" s="171">
        <f>I34*Renditen!H36</f>
        <v>1.0176398214865356E-2</v>
      </c>
      <c r="S35" s="171">
        <f>J34*Renditen!I36</f>
        <v>4.1699642731889727E-4</v>
      </c>
      <c r="T35" s="171">
        <f>K34*Renditen!J36</f>
        <v>8.7375960674366052E-4</v>
      </c>
      <c r="U35" s="171">
        <f t="shared" si="0"/>
        <v>-1.2697064985675764E-2</v>
      </c>
      <c r="W35" s="174">
        <f>Renditen!M36*Strategie!$B$4</f>
        <v>-1.362564E-5</v>
      </c>
      <c r="X35" s="175">
        <f>Strategie!$B$5*Renditen!N36</f>
        <v>-1.50285542E-3</v>
      </c>
      <c r="Y35" s="176">
        <f>Strategie!$B$6*Renditen!O36</f>
        <v>-1.2836777400000001E-3</v>
      </c>
      <c r="Z35" s="174">
        <f>Strategie!$B$7*Renditen!P36</f>
        <v>-6.79538742E-3</v>
      </c>
      <c r="AA35" s="174">
        <f>Strategie!$B$8*Renditen!Q36</f>
        <v>-6.0025240000000004E-3</v>
      </c>
      <c r="AB35" s="174">
        <f>Strategie!$B$9*Renditen!R36</f>
        <v>-2.6556119039999999E-3</v>
      </c>
      <c r="AC35" s="174">
        <f>Strategie!$B$10*Renditen!S36</f>
        <v>-2.7071595520000002E-3</v>
      </c>
      <c r="AD35" s="174">
        <f>Strategie!$B$11*Renditen!T36</f>
        <v>9.6349900800000001E-4</v>
      </c>
      <c r="AE35" s="174">
        <f>Strategie!$B$12*Renditen!U36</f>
        <v>-2.126315788E-3</v>
      </c>
      <c r="AF35" s="174">
        <f t="shared" si="1"/>
        <v>-2.2123658455999999E-2</v>
      </c>
    </row>
    <row r="36" spans="1:32" x14ac:dyDescent="0.25">
      <c r="A36" s="179">
        <f>Vermögen!A38</f>
        <v>44500</v>
      </c>
      <c r="B36" s="169">
        <f>SUM(Vermögen!B38:J38)</f>
        <v>1270786673.6296003</v>
      </c>
      <c r="C36" s="166">
        <f>Vermögen!B38/Gesamtvermögen!$B36</f>
        <v>1.1139027029336007E-2</v>
      </c>
      <c r="D36" s="166">
        <f>Vermögen!C38/Gesamtvermögen!$B36</f>
        <v>0.15349242578366878</v>
      </c>
      <c r="E36" s="166">
        <f>Vermögen!D38/Gesamtvermögen!$B36</f>
        <v>8.5670979372951275E-2</v>
      </c>
      <c r="F36" s="166">
        <f>Vermögen!E38/Gesamtvermögen!$B36</f>
        <v>0.17127252290962003</v>
      </c>
      <c r="G36" s="166">
        <f>Vermögen!F38/Gesamtvermögen!$B36</f>
        <v>0.20342307467550361</v>
      </c>
      <c r="H36" s="166">
        <f>Vermögen!G38/Gesamtvermögen!$B36</f>
        <v>0.1137144594971319</v>
      </c>
      <c r="I36" s="166">
        <f>Vermögen!H38/Gesamtvermögen!$B36</f>
        <v>8.9093935607569522E-2</v>
      </c>
      <c r="J36" s="166">
        <f>Vermögen!I38/Gesamtvermögen!$B36</f>
        <v>0.1398884000551619</v>
      </c>
      <c r="K36" s="166">
        <f>Vermögen!J38/Gesamtvermögen!$B36</f>
        <v>3.2305175069057009E-2</v>
      </c>
      <c r="L36" s="171">
        <f>C35*Renditen!B37</f>
        <v>-2.7132066530745896E-5</v>
      </c>
      <c r="M36" s="171">
        <f>D35*Renditen!C37</f>
        <v>-1.1585778275879071E-3</v>
      </c>
      <c r="N36" s="171">
        <f>E35*Renditen!D37</f>
        <v>-1.1531899027872124E-4</v>
      </c>
      <c r="O36" s="171">
        <f>F35*Renditen!E37</f>
        <v>6.3321647737469774E-3</v>
      </c>
      <c r="P36" s="171">
        <f>G35*Renditen!F37</f>
        <v>1.0589057417805338E-2</v>
      </c>
      <c r="Q36" s="171">
        <f>H35*Renditen!G37</f>
        <v>-1.3394227540654334E-3</v>
      </c>
      <c r="R36" s="171">
        <f>I35*Renditen!H37</f>
        <v>-1.9169726092490428E-3</v>
      </c>
      <c r="S36" s="171">
        <f>J35*Renditen!I37</f>
        <v>4.236262263261537E-4</v>
      </c>
      <c r="T36" s="171">
        <f>K35*Renditen!J37</f>
        <v>-3.2057002647467808E-4</v>
      </c>
      <c r="U36" s="171">
        <f t="shared" si="0"/>
        <v>1.2466854143691941E-2</v>
      </c>
      <c r="W36" s="174">
        <f>Renditen!M37*Strategie!$B$4</f>
        <v>-1.4130102000000001E-5</v>
      </c>
      <c r="X36" s="175">
        <f>Strategie!$B$5*Renditen!N37</f>
        <v>-1.7262265200000003E-3</v>
      </c>
      <c r="Y36" s="176">
        <f>Strategie!$B$6*Renditen!O37</f>
        <v>-2.5706660000000001E-4</v>
      </c>
      <c r="Z36" s="174">
        <f>Strategie!$B$7*Renditen!P37</f>
        <v>4.5357107999999995E-3</v>
      </c>
      <c r="AA36" s="174">
        <f>Strategie!$B$8*Renditen!Q37</f>
        <v>8.6268277120000007E-3</v>
      </c>
      <c r="AB36" s="174">
        <f>Strategie!$B$9*Renditen!R37</f>
        <v>-1.2976713720000001E-3</v>
      </c>
      <c r="AC36" s="174">
        <f>Strategie!$B$10*Renditen!S37</f>
        <v>8.1964710160000002E-3</v>
      </c>
      <c r="AD36" s="174">
        <f>Strategie!$B$11*Renditen!T37</f>
        <v>7.3679721599999998E-4</v>
      </c>
      <c r="AE36" s="174">
        <f>Strategie!$B$12*Renditen!U37</f>
        <v>2.2605151000000003E-3</v>
      </c>
      <c r="AF36" s="174">
        <f t="shared" si="1"/>
        <v>2.1061227249999998E-2</v>
      </c>
    </row>
    <row r="37" spans="1:32" x14ac:dyDescent="0.25">
      <c r="A37" s="179">
        <f>Vermögen!A39</f>
        <v>44530</v>
      </c>
      <c r="B37" s="169">
        <f>SUM(Vermögen!B39:J39)</f>
        <v>1264265035.7934427</v>
      </c>
      <c r="C37" s="166">
        <f>Vermögen!B39/Gesamtvermögen!$B37</f>
        <v>1.1204324594933037E-2</v>
      </c>
      <c r="D37" s="166">
        <f>Vermögen!C39/Gesamtvermögen!$B37</f>
        <v>0.15672189803604161</v>
      </c>
      <c r="E37" s="166">
        <f>Vermögen!D39/Gesamtvermögen!$B37</f>
        <v>8.476706626227011E-2</v>
      </c>
      <c r="F37" s="166">
        <f>Vermögen!E39/Gesamtvermögen!$B37</f>
        <v>0.17127802656840596</v>
      </c>
      <c r="G37" s="166">
        <f>Vermögen!F39/Gesamtvermögen!$B37</f>
        <v>0.20118041482893737</v>
      </c>
      <c r="H37" s="166">
        <f>Vermögen!G39/Gesamtvermögen!$B37</f>
        <v>0.11091773789029451</v>
      </c>
      <c r="I37" s="166">
        <f>Vermögen!H39/Gesamtvermögen!$B37</f>
        <v>9.0694340842567972E-2</v>
      </c>
      <c r="J37" s="166">
        <f>Vermögen!I39/Gesamtvermögen!$B37</f>
        <v>0.14103183626945887</v>
      </c>
      <c r="K37" s="166">
        <f>Vermögen!J39/Gesamtvermögen!$B37</f>
        <v>3.220435470709055E-2</v>
      </c>
      <c r="L37" s="171">
        <f>C36*Renditen!B38</f>
        <v>7.7973189205352053E-6</v>
      </c>
      <c r="M37" s="171">
        <f>D36*Renditen!C38</f>
        <v>2.4251803273819669E-3</v>
      </c>
      <c r="N37" s="171">
        <f>E36*Renditen!D38</f>
        <v>-1.3389350683927213E-3</v>
      </c>
      <c r="O37" s="171">
        <f>F36*Renditen!E38</f>
        <v>-8.734898668390622E-4</v>
      </c>
      <c r="P37" s="171">
        <f>G36*Renditen!F38</f>
        <v>-3.2751115022756081E-3</v>
      </c>
      <c r="Q37" s="171">
        <f>H36*Renditen!G38</f>
        <v>-3.3659480011151042E-3</v>
      </c>
      <c r="R37" s="171">
        <f>I36*Renditen!H38</f>
        <v>1.1349646877861659E-3</v>
      </c>
      <c r="S37" s="171">
        <f>J36*Renditen!I38</f>
        <v>4.196652001654857E-4</v>
      </c>
      <c r="T37" s="171">
        <f>K36*Renditen!J38</f>
        <v>-2.6609211253253082E-4</v>
      </c>
      <c r="U37" s="171">
        <f t="shared" si="0"/>
        <v>-5.1319690169008732E-3</v>
      </c>
      <c r="W37" s="174">
        <f>Renditen!M38*Strategie!$B$4</f>
        <v>-1.3219836000000002E-5</v>
      </c>
      <c r="X37" s="175">
        <f>Strategie!$B$5*Renditen!N38</f>
        <v>1.9245456000000001E-3</v>
      </c>
      <c r="Y37" s="176">
        <f>Strategie!$B$6*Renditen!O38</f>
        <v>1.1288711500000001E-3</v>
      </c>
      <c r="Z37" s="174">
        <f>Strategie!$B$7*Renditen!P38</f>
        <v>-6.1693713599999991E-4</v>
      </c>
      <c r="AA37" s="174">
        <f>Strategie!$B$8*Renditen!Q38</f>
        <v>-2.5274269599999998E-3</v>
      </c>
      <c r="AB37" s="174">
        <f>Strategie!$B$9*Renditen!R38</f>
        <v>-3.422585688E-3</v>
      </c>
      <c r="AC37" s="174">
        <f>Strategie!$B$10*Renditen!S38</f>
        <v>-1.229445592E-3</v>
      </c>
      <c r="AD37" s="174">
        <f>Strategie!$B$11*Renditen!T38</f>
        <v>6.5140622400000007E-4</v>
      </c>
      <c r="AE37" s="174">
        <f>Strategie!$B$12*Renditen!U38</f>
        <v>-5.6120659599999997E-4</v>
      </c>
      <c r="AF37" s="174">
        <f t="shared" si="1"/>
        <v>-4.6659988339999995E-3</v>
      </c>
    </row>
    <row r="38" spans="1:32" x14ac:dyDescent="0.25">
      <c r="A38" s="179">
        <f>Vermögen!A40</f>
        <v>44561</v>
      </c>
      <c r="B38" s="169">
        <f>SUM(Vermögen!B40:J40)</f>
        <v>1274742241.9884608</v>
      </c>
      <c r="C38" s="166">
        <f>Vermögen!B40/Gesamtvermögen!$B38</f>
        <v>1.1052229303681148E-2</v>
      </c>
      <c r="D38" s="166">
        <f>Vermögen!C40/Gesamtvermögen!$B38</f>
        <v>0.15408151453764099</v>
      </c>
      <c r="E38" s="166">
        <f>Vermögen!D40/Gesamtvermögen!$B38</f>
        <v>8.498361828437144E-2</v>
      </c>
      <c r="F38" s="166">
        <f>Vermögen!E40/Gesamtvermögen!$B38</f>
        <v>0.17982467742453068</v>
      </c>
      <c r="G38" s="166">
        <f>Vermögen!F40/Gesamtvermögen!$B38</f>
        <v>0.2071089193594893</v>
      </c>
      <c r="H38" s="166">
        <f>Vermögen!G40/Gesamtvermögen!$B38</f>
        <v>0.11042411949282394</v>
      </c>
      <c r="I38" s="166">
        <f>Vermögen!H40/Gesamtvermögen!$B38</f>
        <v>9.5990474301370129E-2</v>
      </c>
      <c r="J38" s="166">
        <f>Vermögen!I40/Gesamtvermögen!$B38</f>
        <v>0.12262472502317939</v>
      </c>
      <c r="K38" s="166">
        <f>Vermögen!J40/Gesamtvermögen!$B38</f>
        <v>3.3909722272912945E-2</v>
      </c>
      <c r="L38" s="171">
        <f>C37*Renditen!B39</f>
        <v>-6.0503352812638405E-5</v>
      </c>
      <c r="M38" s="171">
        <f>D37*Renditen!C39</f>
        <v>-1.3634805129135619E-3</v>
      </c>
      <c r="N38" s="171">
        <f>E37*Renditen!D39</f>
        <v>9.2082752348405324E-4</v>
      </c>
      <c r="O38" s="171">
        <f>F37*Renditen!E39</f>
        <v>1.003689235690859E-2</v>
      </c>
      <c r="P38" s="171">
        <f>G37*Renditen!F39</f>
        <v>7.6448557634996193E-3</v>
      </c>
      <c r="Q38" s="171">
        <f>H37*Renditen!G39</f>
        <v>4.214874039831191E-4</v>
      </c>
      <c r="R38" s="171">
        <f>I37*Renditen!H39</f>
        <v>6.0916248815178599E-3</v>
      </c>
      <c r="S38" s="171">
        <f>J37*Renditen!I39</f>
        <v>2.3834380329538548E-3</v>
      </c>
      <c r="T38" s="171">
        <f>K37*Renditen!J39</f>
        <v>1.9863839209461696E-3</v>
      </c>
      <c r="U38" s="171">
        <f t="shared" si="0"/>
        <v>2.8061526017567062E-2</v>
      </c>
      <c r="W38" s="174">
        <f>Renditen!M39*Strategie!$B$4</f>
        <v>-1.3618176000000001E-5</v>
      </c>
      <c r="X38" s="175">
        <f>Strategie!$B$5*Renditen!N39</f>
        <v>-8.9258698E-4</v>
      </c>
      <c r="Y38" s="176">
        <f>Strategie!$B$6*Renditen!O39</f>
        <v>-1.03918717E-3</v>
      </c>
      <c r="Z38" s="174">
        <f>Strategie!$B$7*Renditen!P39</f>
        <v>7.0420183079999994E-3</v>
      </c>
      <c r="AA38" s="174">
        <f>Strategie!$B$8*Renditen!Q39</f>
        <v>6.0614418080000001E-3</v>
      </c>
      <c r="AB38" s="174">
        <f>Strategie!$B$9*Renditen!R39</f>
        <v>3.6889836000000002E-4</v>
      </c>
      <c r="AC38" s="174">
        <f>Strategie!$B$10*Renditen!S39</f>
        <v>-4.7895232000000001E-4</v>
      </c>
      <c r="AD38" s="174">
        <f>Strategie!$B$11*Renditen!T39</f>
        <v>1.5349977440000002E-3</v>
      </c>
      <c r="AE38" s="174">
        <f>Strategie!$B$12*Renditen!U39</f>
        <v>2.3817146920000003E-3</v>
      </c>
      <c r="AF38" s="174">
        <f t="shared" si="1"/>
        <v>1.4964726266000001E-2</v>
      </c>
    </row>
    <row r="39" spans="1:32" x14ac:dyDescent="0.25">
      <c r="A39" s="179">
        <f>Vermögen!A41</f>
        <v>44592</v>
      </c>
      <c r="B39" s="169">
        <f>SUM(Vermögen!B41:J41)</f>
        <v>1246749129.9522023</v>
      </c>
      <c r="C39" s="166">
        <f>Vermögen!B41/Gesamtvermögen!$B39</f>
        <v>1.1280633071123005E-2</v>
      </c>
      <c r="D39" s="166">
        <f>Vermögen!C41/Gesamtvermögen!$B39</f>
        <v>0.15514646416932912</v>
      </c>
      <c r="E39" s="166">
        <f>Vermögen!D41/Gesamtvermögen!$B39</f>
        <v>8.4997209155661307E-2</v>
      </c>
      <c r="F39" s="166">
        <f>Vermögen!E41/Gesamtvermögen!$B39</f>
        <v>0.17345565591673595</v>
      </c>
      <c r="G39" s="166">
        <f>Vermögen!F41/Gesamtvermögen!$B39</f>
        <v>0.2009593969490252</v>
      </c>
      <c r="H39" s="166">
        <f>Vermögen!G41/Gesamtvermögen!$B39</f>
        <v>0.11336636348394762</v>
      </c>
      <c r="I39" s="166">
        <f>Vermögen!H41/Gesamtvermögen!$B39</f>
        <v>0.10025756164483055</v>
      </c>
      <c r="J39" s="166">
        <f>Vermögen!I41/Gesamtvermögen!$B39</f>
        <v>0.12575413760743892</v>
      </c>
      <c r="K39" s="166">
        <f>Vermögen!J41/Gesamtvermögen!$B39</f>
        <v>3.4782578001908267E-2</v>
      </c>
      <c r="L39" s="171">
        <f>C38*Renditen!B40</f>
        <v>-1.9316920708624534E-5</v>
      </c>
      <c r="M39" s="171">
        <f>D38*Renditen!C40</f>
        <v>-2.342039020972143E-3</v>
      </c>
      <c r="N39" s="171">
        <f>E38*Renditen!D40</f>
        <v>-1.8529326660114487E-3</v>
      </c>
      <c r="O39" s="171">
        <f>F38*Renditen!E40</f>
        <v>-1.0178076742228436E-2</v>
      </c>
      <c r="P39" s="171">
        <f>G38*Renditen!F40</f>
        <v>-1.0562554887333953E-2</v>
      </c>
      <c r="Q39" s="171">
        <f>H38*Renditen!G40</f>
        <v>4.5273888992057815E-4</v>
      </c>
      <c r="R39" s="171">
        <f>I38*Renditen!H40</f>
        <v>2.0654491901440498E-3</v>
      </c>
      <c r="S39" s="171">
        <f>J38*Renditen!I40</f>
        <v>3.6787417506953821E-4</v>
      </c>
      <c r="T39" s="171">
        <f>K38*Renditen!J40</f>
        <v>1.0903652630027893E-4</v>
      </c>
      <c r="U39" s="171">
        <f t="shared" si="0"/>
        <v>-2.1959821455820157E-2</v>
      </c>
      <c r="W39" s="174">
        <f>Renditen!M40*Strategie!$B$4</f>
        <v>-1.3609734000000001E-5</v>
      </c>
      <c r="X39" s="175">
        <f>Strategie!$B$5*Renditen!N40</f>
        <v>-2.0059266000000001E-3</v>
      </c>
      <c r="Y39" s="176">
        <f>Strategie!$B$6*Renditen!O40</f>
        <v>-1.59544451E-3</v>
      </c>
      <c r="Z39" s="174">
        <f>Strategie!$B$7*Renditen!P40</f>
        <v>-6.799006596E-3</v>
      </c>
      <c r="AA39" s="174">
        <f>Strategie!$B$8*Renditen!Q40</f>
        <v>-8.1313895520000005E-3</v>
      </c>
      <c r="AB39" s="174">
        <f>Strategie!$B$9*Renditen!R40</f>
        <v>2.9974663200000001E-4</v>
      </c>
      <c r="AC39" s="174">
        <f>Strategie!$B$10*Renditen!S40</f>
        <v>-4.0838961520000003E-3</v>
      </c>
      <c r="AD39" s="174">
        <f>Strategie!$B$11*Renditen!T40</f>
        <v>4.89345888E-4</v>
      </c>
      <c r="AE39" s="174">
        <f>Strategie!$B$12*Renditen!U40</f>
        <v>-2.2025433320000004E-3</v>
      </c>
      <c r="AF39" s="174">
        <f t="shared" si="1"/>
        <v>-2.4042723956000003E-2</v>
      </c>
    </row>
    <row r="40" spans="1:32" x14ac:dyDescent="0.25">
      <c r="A40" s="179">
        <f>Vermögen!A42</f>
        <v>44620</v>
      </c>
      <c r="B40" s="169">
        <f>SUM(Vermögen!B42:J42)</f>
        <v>1217445793.7874599</v>
      </c>
      <c r="C40" s="166">
        <f>Vermögen!B42/Gesamtvermögen!$B40</f>
        <v>1.1521371755378273E-2</v>
      </c>
      <c r="D40" s="166">
        <f>Vermögen!C42/Gesamtvermögen!$B40</f>
        <v>0.15605268750828163</v>
      </c>
      <c r="E40" s="166">
        <f>Vermögen!D42/Gesamtvermögen!$B40</f>
        <v>8.2505670042339094E-2</v>
      </c>
      <c r="F40" s="166">
        <f>Vermögen!E42/Gesamtvermögen!$B40</f>
        <v>0.17365172376862203</v>
      </c>
      <c r="G40" s="166">
        <f>Vermögen!F42/Gesamtvermögen!$B40</f>
        <v>0.20011641276680639</v>
      </c>
      <c r="H40" s="166">
        <f>Vermögen!G42/Gesamtvermögen!$B40</f>
        <v>0.1105340851689367</v>
      </c>
      <c r="I40" s="166">
        <f>Vermögen!H42/Gesamtvermögen!$B40</f>
        <v>0.10117344790286595</v>
      </c>
      <c r="J40" s="166">
        <f>Vermögen!I42/Gesamtvermögen!$B40</f>
        <v>0.1291673223049199</v>
      </c>
      <c r="K40" s="166">
        <f>Vermögen!J42/Gesamtvermögen!$B40</f>
        <v>3.52772787818499E-2</v>
      </c>
      <c r="L40" s="171">
        <f>C39*Renditen!B41</f>
        <v>-3.0057277430916616E-5</v>
      </c>
      <c r="M40" s="171">
        <f>D39*Renditen!C41</f>
        <v>-2.7616070622140582E-3</v>
      </c>
      <c r="N40" s="171">
        <f>E39*Renditen!D41</f>
        <v>-4.4307354814325075E-3</v>
      </c>
      <c r="O40" s="171">
        <f>F39*Renditen!E41</f>
        <v>-3.8854066925348854E-3</v>
      </c>
      <c r="P40" s="171">
        <f>G39*Renditen!F41</f>
        <v>-5.5464793557930955E-3</v>
      </c>
      <c r="Q40" s="171">
        <f>H39*Renditen!G41</f>
        <v>-5.4302488108810909E-3</v>
      </c>
      <c r="R40" s="171">
        <f>I39*Renditen!H41</f>
        <v>-1.4620737369777064E-3</v>
      </c>
      <c r="S40" s="171">
        <f>J39*Renditen!I41</f>
        <v>3.7726241282231676E-4</v>
      </c>
      <c r="T40" s="171">
        <f>K39*Renditen!J41</f>
        <v>-3.344491543049775E-4</v>
      </c>
      <c r="U40" s="171">
        <f t="shared" si="0"/>
        <v>-2.3503795158746923E-2</v>
      </c>
      <c r="W40" s="174">
        <f>Renditen!M41*Strategie!$B$4</f>
        <v>-1.2608216000000001E-5</v>
      </c>
      <c r="X40" s="175">
        <f>Strategie!$B$5*Renditen!N41</f>
        <v>-2.9472714800000003E-3</v>
      </c>
      <c r="Y40" s="176">
        <f>Strategie!$B$6*Renditen!O41</f>
        <v>-1.21324499E-3</v>
      </c>
      <c r="Z40" s="174">
        <f>Strategie!$B$7*Renditen!P41</f>
        <v>-2.6397555599999996E-3</v>
      </c>
      <c r="AA40" s="174">
        <f>Strategie!$B$8*Renditen!Q41</f>
        <v>-4.3487051840000006E-3</v>
      </c>
      <c r="AB40" s="174">
        <f>Strategie!$B$9*Renditen!R41</f>
        <v>-5.2872830999999999E-3</v>
      </c>
      <c r="AC40" s="174">
        <f>Strategie!$B$10*Renditen!S41</f>
        <v>-5.2980301839999997E-3</v>
      </c>
      <c r="AD40" s="174">
        <f>Strategie!$B$11*Renditen!T41</f>
        <v>5.4147960000000008E-4</v>
      </c>
      <c r="AE40" s="174">
        <f>Strategie!$B$12*Renditen!U41</f>
        <v>-1.02509438E-3</v>
      </c>
      <c r="AF40" s="174">
        <f t="shared" si="1"/>
        <v>-2.2230513494000001E-2</v>
      </c>
    </row>
    <row r="41" spans="1:32" x14ac:dyDescent="0.25">
      <c r="A41" s="179">
        <f>Vermögen!A43</f>
        <v>44651</v>
      </c>
      <c r="B41" s="169">
        <f>SUM(Vermögen!B43:J43)</f>
        <v>1232579748.4300516</v>
      </c>
      <c r="C41" s="166">
        <f>Vermögen!B43/Gesamtvermögen!$B41</f>
        <v>1.1336891058415543E-2</v>
      </c>
      <c r="D41" s="166">
        <f>Vermögen!C43/Gesamtvermögen!$B41</f>
        <v>0.14934298032508139</v>
      </c>
      <c r="E41" s="166">
        <f>Vermögen!D43/Gesamtvermögen!$B41</f>
        <v>8.1528931107670816E-2</v>
      </c>
      <c r="F41" s="166">
        <f>Vermögen!E43/Gesamtvermögen!$B41</f>
        <v>0.17567035376854651</v>
      </c>
      <c r="G41" s="166">
        <f>Vermögen!F43/Gesamtvermögen!$B41</f>
        <v>0.20366817174649504</v>
      </c>
      <c r="H41" s="166">
        <f>Vermögen!G43/Gesamtvermögen!$B41</f>
        <v>0.10733182723736458</v>
      </c>
      <c r="I41" s="166">
        <f>Vermögen!H43/Gesamtvermögen!$B41</f>
        <v>0.10687803410709364</v>
      </c>
      <c r="J41" s="166">
        <f>Vermögen!I43/Gesamtvermögen!$B41</f>
        <v>0.12796411435082855</v>
      </c>
      <c r="K41" s="166">
        <f>Vermögen!J43/Gesamtvermögen!$B41</f>
        <v>3.6278696298504089E-2</v>
      </c>
      <c r="L41" s="171">
        <f>C40*Renditen!B42</f>
        <v>-4.355286597297551E-5</v>
      </c>
      <c r="M41" s="171">
        <f>D40*Renditen!C42</f>
        <v>-4.8532385815075584E-3</v>
      </c>
      <c r="N41" s="171">
        <f>E40*Renditen!D42</f>
        <v>3.673957233281521E-5</v>
      </c>
      <c r="O41" s="171">
        <f>F40*Renditen!E42</f>
        <v>4.2023717152006529E-3</v>
      </c>
      <c r="P41" s="171">
        <f>G40*Renditen!F42</f>
        <v>6.0835389481109139E-3</v>
      </c>
      <c r="Q41" s="171">
        <f>H40*Renditen!G42</f>
        <v>-1.8680260393550301E-3</v>
      </c>
      <c r="R41" s="171">
        <f>I40*Renditen!H42</f>
        <v>7.0331770365424087E-3</v>
      </c>
      <c r="S41" s="171">
        <f>J40*Renditen!I42</f>
        <v>3.8750196691475969E-4</v>
      </c>
      <c r="T41" s="171">
        <f>K40*Renditen!J42</f>
        <v>1.4523945926567777E-3</v>
      </c>
      <c r="U41" s="171">
        <f t="shared" si="0"/>
        <v>1.2430906344922764E-2</v>
      </c>
      <c r="W41" s="174">
        <f>Renditen!M42*Strategie!$B$4</f>
        <v>-1.3964734E-5</v>
      </c>
      <c r="X41" s="175">
        <f>Strategie!$B$5*Renditen!N42</f>
        <v>-3.3185323599999998E-3</v>
      </c>
      <c r="Y41" s="176">
        <f>Strategie!$B$6*Renditen!O42</f>
        <v>-2.3735603700000001E-3</v>
      </c>
      <c r="Z41" s="174">
        <f>Strategie!$B$7*Renditen!P42</f>
        <v>2.9029598159999999E-3</v>
      </c>
      <c r="AA41" s="174">
        <f>Strategie!$B$8*Renditen!Q42</f>
        <v>4.8283304640000003E-3</v>
      </c>
      <c r="AB41" s="174">
        <f>Strategie!$B$9*Renditen!R42</f>
        <v>-2.3522814359999999E-3</v>
      </c>
      <c r="AC41" s="174">
        <f>Strategie!$B$10*Renditen!S42</f>
        <v>3.7103163199999999E-4</v>
      </c>
      <c r="AD41" s="174">
        <f>Strategie!$B$11*Renditen!T42</f>
        <v>9.1333110399999999E-4</v>
      </c>
      <c r="AE41" s="174">
        <f>Strategie!$B$12*Renditen!U42</f>
        <v>1.9728325279999999E-3</v>
      </c>
      <c r="AF41" s="174">
        <f t="shared" si="1"/>
        <v>2.9301466439999998E-3</v>
      </c>
    </row>
    <row r="42" spans="1:32" x14ac:dyDescent="0.25">
      <c r="A42" s="179">
        <f>Vermögen!A44</f>
        <v>44681</v>
      </c>
      <c r="B42" s="169">
        <f>SUM(Vermögen!B44:J44)</f>
        <v>1211974579.5801709</v>
      </c>
      <c r="C42" s="166">
        <f>Vermögen!B44/Gesamtvermögen!$B42</f>
        <v>1.1530890978673604E-2</v>
      </c>
      <c r="D42" s="166">
        <f>Vermögen!C44/Gesamtvermögen!$B42</f>
        <v>0.14846466308397152</v>
      </c>
      <c r="E42" s="166">
        <f>Vermögen!D44/Gesamtvermögen!$B42</f>
        <v>7.8871866773630506E-2</v>
      </c>
      <c r="F42" s="166">
        <f>Vermögen!E44/Gesamtvermögen!$B42</f>
        <v>0.17940734116377521</v>
      </c>
      <c r="G42" s="166">
        <f>Vermögen!F44/Gesamtvermögen!$B42</f>
        <v>0.19149242433027142</v>
      </c>
      <c r="H42" s="166">
        <f>Vermögen!G44/Gesamtvermögen!$B42</f>
        <v>0.10871998364351283</v>
      </c>
      <c r="I42" s="166">
        <f>Vermögen!H44/Gesamtvermögen!$B42</f>
        <v>0.11466136008877179</v>
      </c>
      <c r="J42" s="166">
        <f>Vermögen!I44/Gesamtvermögen!$B42</f>
        <v>0.1305300923531274</v>
      </c>
      <c r="K42" s="166">
        <f>Vermögen!J44/Gesamtvermögen!$B42</f>
        <v>3.6321377584265721E-2</v>
      </c>
      <c r="L42" s="171">
        <f>C41*Renditen!B43</f>
        <v>1.2367697132256512E-6</v>
      </c>
      <c r="M42" s="171">
        <f>D41*Renditen!C43</f>
        <v>-3.3602170573143312E-3</v>
      </c>
      <c r="N42" s="171">
        <f>E41*Renditen!D43</f>
        <v>-3.9755738539686948E-3</v>
      </c>
      <c r="O42" s="171">
        <f>F41*Renditen!E43</f>
        <v>7.3781548582789523E-4</v>
      </c>
      <c r="P42" s="171">
        <f>G41*Renditen!F43</f>
        <v>-1.5376946966860375E-2</v>
      </c>
      <c r="Q42" s="171">
        <f>H41*Renditen!G43</f>
        <v>-4.2932730894945832E-4</v>
      </c>
      <c r="R42" s="171">
        <f>I41*Renditen!H43</f>
        <v>5.8665196345063734E-3</v>
      </c>
      <c r="S42" s="171">
        <f>J41*Renditen!I43</f>
        <v>3.8389234305248566E-4</v>
      </c>
      <c r="T42" s="171">
        <f>K41*Renditen!J43</f>
        <v>-5.6450710828534186E-4</v>
      </c>
      <c r="U42" s="171">
        <f t="shared" si="0"/>
        <v>-1.6717108062278222E-2</v>
      </c>
      <c r="W42" s="174">
        <f>Renditen!M43*Strategie!$B$4</f>
        <v>-1.2678253999999999E-5</v>
      </c>
      <c r="X42" s="175">
        <f>Strategie!$B$5*Renditen!N43</f>
        <v>-2.3605830200000002E-3</v>
      </c>
      <c r="Y42" s="176">
        <f>Strategie!$B$6*Renditen!O43</f>
        <v>-2.9647048900000002E-3</v>
      </c>
      <c r="Z42" s="174">
        <f>Strategie!$B$7*Renditen!P43</f>
        <v>4.9819256400000008E-4</v>
      </c>
      <c r="AA42" s="174">
        <f>Strategie!$B$8*Renditen!Q43</f>
        <v>-1.2080391088000001E-2</v>
      </c>
      <c r="AB42" s="174">
        <f>Strategie!$B$9*Renditen!R43</f>
        <v>-4.6870467599999997E-4</v>
      </c>
      <c r="AC42" s="174">
        <f>Strategie!$B$10*Renditen!S43</f>
        <v>-6.8541671120000008E-3</v>
      </c>
      <c r="AD42" s="174">
        <f>Strategie!$B$11*Renditen!T43</f>
        <v>4.6898009599999997E-4</v>
      </c>
      <c r="AE42" s="174">
        <f>Strategie!$B$12*Renditen!U43</f>
        <v>-1.6177237200000001E-3</v>
      </c>
      <c r="AF42" s="174">
        <f t="shared" si="1"/>
        <v>-2.5391780100000001E-2</v>
      </c>
    </row>
    <row r="43" spans="1:32" x14ac:dyDescent="0.25">
      <c r="A43" s="179">
        <f>Vermögen!A45</f>
        <v>44712</v>
      </c>
      <c r="B43" s="169">
        <f>SUM(Vermögen!B45:J45)</f>
        <v>1198436668.6952929</v>
      </c>
      <c r="C43" s="166">
        <f>Vermögen!B45/Gesamtvermögen!$B43</f>
        <v>1.1658336243399865E-2</v>
      </c>
      <c r="D43" s="166">
        <f>Vermögen!C45/Gesamtvermögen!$B43</f>
        <v>0.14925592937043849</v>
      </c>
      <c r="E43" s="166">
        <f>Vermögen!D45/Gesamtvermögen!$B43</f>
        <v>7.9779152817813781E-2</v>
      </c>
      <c r="F43" s="166">
        <f>Vermögen!E45/Gesamtvermögen!$B43</f>
        <v>0.17348717351209228</v>
      </c>
      <c r="G43" s="166">
        <f>Vermögen!F45/Gesamtvermögen!$B43</f>
        <v>0.19328763631436463</v>
      </c>
      <c r="H43" s="166">
        <f>Vermögen!G45/Gesamtvermögen!$B43</f>
        <v>0.10912350728317703</v>
      </c>
      <c r="I43" s="166">
        <f>Vermögen!H45/Gesamtvermögen!$B43</f>
        <v>0.11439975478108183</v>
      </c>
      <c r="J43" s="166">
        <f>Vermögen!I45/Gesamtvermögen!$B43</f>
        <v>0.13240061440742895</v>
      </c>
      <c r="K43" s="166">
        <f>Vermögen!J45/Gesamtvermögen!$B43</f>
        <v>3.6607895270203146E-2</v>
      </c>
      <c r="L43" s="171">
        <f>C42*Renditen!B44</f>
        <v>-2.7798404766560498E-6</v>
      </c>
      <c r="M43" s="171">
        <f>D42*Renditen!C44</f>
        <v>-8.7594151219543199E-4</v>
      </c>
      <c r="N43" s="171">
        <f>E42*Renditen!D44</f>
        <v>1.6142715341560132E-5</v>
      </c>
      <c r="O43" s="171">
        <f>F42*Renditen!E44</f>
        <v>-7.8580415429733534E-3</v>
      </c>
      <c r="P43" s="171">
        <f>G42*Renditen!F44</f>
        <v>-3.6383560622751569E-4</v>
      </c>
      <c r="Q43" s="171">
        <f>H42*Renditen!G44</f>
        <v>-8.1539987732634619E-4</v>
      </c>
      <c r="R43" s="171">
        <f>I42*Renditen!H44</f>
        <v>-1.5394651832779948E-3</v>
      </c>
      <c r="S43" s="171">
        <f>J42*Renditen!I44</f>
        <v>3.915902770593822E-4</v>
      </c>
      <c r="T43" s="171">
        <f>K42*Renditen!J44</f>
        <v>-1.2239718092606268E-4</v>
      </c>
      <c r="U43" s="171">
        <f t="shared" si="0"/>
        <v>-1.1170127751002418E-2</v>
      </c>
      <c r="W43" s="174">
        <f>Renditen!M44*Strategie!$B$4</f>
        <v>-1.2455313999999999E-5</v>
      </c>
      <c r="X43" s="175">
        <f>Strategie!$B$5*Renditen!N44</f>
        <v>-7.2144288000000004E-4</v>
      </c>
      <c r="Y43" s="176">
        <f>Strategie!$B$6*Renditen!O44</f>
        <v>-8.0835227000000003E-4</v>
      </c>
      <c r="Z43" s="174">
        <f>Strategie!$B$7*Renditen!P44</f>
        <v>-5.2612689239999993E-3</v>
      </c>
      <c r="AA43" s="174">
        <f>Strategie!$B$8*Renditen!Q44</f>
        <v>-3.0888030400000002E-4</v>
      </c>
      <c r="AB43" s="174">
        <f>Strategie!$B$9*Renditen!R44</f>
        <v>-9.7408796399999994E-4</v>
      </c>
      <c r="AC43" s="174">
        <f>Strategie!$B$10*Renditen!S44</f>
        <v>1.4213231760000001E-3</v>
      </c>
      <c r="AD43" s="174">
        <f>Strategie!$B$11*Renditen!T44</f>
        <v>5.0330424000000001E-4</v>
      </c>
      <c r="AE43" s="174">
        <f>Strategie!$B$12*Renditen!U44</f>
        <v>-1.850694916E-3</v>
      </c>
      <c r="AF43" s="174">
        <f t="shared" si="1"/>
        <v>-8.0125551559999987E-3</v>
      </c>
    </row>
    <row r="44" spans="1:32" x14ac:dyDescent="0.25">
      <c r="A44" s="179">
        <f>Vermögen!A46</f>
        <v>44742</v>
      </c>
      <c r="B44" s="169">
        <f>SUM(Vermögen!B46:J46)</f>
        <v>1146123923.4018083</v>
      </c>
      <c r="C44" s="166">
        <f>Vermögen!B46/Gesamtvermögen!$B44</f>
        <v>1.2108417761204001E-2</v>
      </c>
      <c r="D44" s="166">
        <f>Vermögen!C46/Gesamtvermögen!$B44</f>
        <v>0.15297829002428148</v>
      </c>
      <c r="E44" s="166">
        <f>Vermögen!D46/Gesamtvermögen!$B44</f>
        <v>7.8831941393288363E-2</v>
      </c>
      <c r="F44" s="166">
        <f>Vermögen!E46/Gesamtvermögen!$B44</f>
        <v>0.16821748754638755</v>
      </c>
      <c r="G44" s="166">
        <f>Vermögen!F46/Gesamtvermögen!$B44</f>
        <v>0.1862442723822465</v>
      </c>
      <c r="H44" s="166">
        <f>Vermögen!G46/Gesamtvermögen!$B44</f>
        <v>0.1064706771876443</v>
      </c>
      <c r="I44" s="166">
        <f>Vermögen!H46/Gesamtvermögen!$B44</f>
        <v>0.11817903774681696</v>
      </c>
      <c r="J44" s="166">
        <f>Vermögen!I46/Gesamtvermögen!$B44</f>
        <v>0.13885913143237424</v>
      </c>
      <c r="K44" s="166">
        <f>Vermögen!J46/Gesamtvermögen!$B44</f>
        <v>3.8110744525756753E-2</v>
      </c>
      <c r="L44" s="171">
        <f>C43*Renditen!B45</f>
        <v>-7.8460866449314603E-5</v>
      </c>
      <c r="M44" s="171">
        <f>D43*Renditen!C45</f>
        <v>-2.9552674015346824E-3</v>
      </c>
      <c r="N44" s="171">
        <f>E43*Renditen!D45</f>
        <v>-4.3882904392284839E-3</v>
      </c>
      <c r="O44" s="171">
        <f>F43*Renditen!E45</f>
        <v>-1.2612517514329109E-2</v>
      </c>
      <c r="P44" s="171">
        <f>G43*Renditen!F45</f>
        <v>-1.5173079450677623E-2</v>
      </c>
      <c r="Q44" s="171">
        <f>H43*Renditen!G45</f>
        <v>-7.3003626372445439E-3</v>
      </c>
      <c r="R44" s="171">
        <f>I43*Renditen!H45</f>
        <v>-1.3793291346513004E-3</v>
      </c>
      <c r="S44" s="171">
        <f>J43*Renditen!I45</f>
        <v>3.9720184322228688E-4</v>
      </c>
      <c r="T44" s="171">
        <f>K43*Renditen!J45</f>
        <v>-1.6071605698930253E-4</v>
      </c>
      <c r="U44" s="171">
        <f t="shared" si="0"/>
        <v>-4.3650821657882075E-2</v>
      </c>
      <c r="W44" s="174">
        <f>Renditen!M45*Strategie!$B$4</f>
        <v>-1.0845186000000001E-5</v>
      </c>
      <c r="X44" s="175">
        <f>Strategie!$B$5*Renditen!N45</f>
        <v>-2.68704746E-3</v>
      </c>
      <c r="Y44" s="176">
        <f>Strategie!$B$6*Renditen!O45</f>
        <v>-1.3414942200000001E-3</v>
      </c>
      <c r="Z44" s="174">
        <f>Strategie!$B$7*Renditen!P45</f>
        <v>-8.7242425439999997E-3</v>
      </c>
      <c r="AA44" s="174">
        <f>Strategie!$B$8*Renditen!Q45</f>
        <v>-1.2580943568E-2</v>
      </c>
      <c r="AB44" s="174">
        <f>Strategie!$B$9*Renditen!R45</f>
        <v>-8.1142790160000002E-3</v>
      </c>
      <c r="AC44" s="174">
        <f>Strategie!$B$10*Renditen!S45</f>
        <v>-1.1795706816E-2</v>
      </c>
      <c r="AD44" s="174">
        <f>Strategie!$B$11*Renditen!T45</f>
        <v>5.7045638399999998E-4</v>
      </c>
      <c r="AE44" s="174">
        <f>Strategie!$B$12*Renditen!U45</f>
        <v>-2.9904590120000004E-3</v>
      </c>
      <c r="AF44" s="174">
        <f t="shared" si="1"/>
        <v>-4.7674561437999995E-2</v>
      </c>
    </row>
    <row r="45" spans="1:32" x14ac:dyDescent="0.25">
      <c r="A45" s="179">
        <f>Vermögen!A47</f>
        <v>44773</v>
      </c>
      <c r="B45" s="169">
        <f>SUM(Vermögen!B47:J47)</f>
        <v>1179879413.6436186</v>
      </c>
      <c r="C45" s="166">
        <f>Vermögen!B47/Gesamtvermögen!$B45</f>
        <v>1.1777913254388636E-2</v>
      </c>
      <c r="D45" s="166">
        <f>Vermögen!C47/Gesamtvermögen!$B45</f>
        <v>0.15408509508030949</v>
      </c>
      <c r="E45" s="166">
        <f>Vermögen!D47/Gesamtvermögen!$B45</f>
        <v>7.8182906226411039E-2</v>
      </c>
      <c r="F45" s="166">
        <f>Vermögen!E47/Gesamtvermögen!$B45</f>
        <v>0.17064374522430859</v>
      </c>
      <c r="G45" s="166">
        <f>Vermögen!F47/Gesamtvermögen!$B45</f>
        <v>0.19529877824385683</v>
      </c>
      <c r="H45" s="166">
        <f>Vermögen!G47/Gesamtvermögen!$B45</f>
        <v>0.10246277965198612</v>
      </c>
      <c r="I45" s="166">
        <f>Vermögen!H47/Gesamtvermögen!$B45</f>
        <v>0.11416548486275514</v>
      </c>
      <c r="J45" s="166">
        <f>Vermögen!I47/Gesamtvermögen!$B45</f>
        <v>0.13529113228786926</v>
      </c>
      <c r="K45" s="166">
        <f>Vermögen!J47/Gesamtvermögen!$B45</f>
        <v>3.8092165168115033E-2</v>
      </c>
      <c r="L45" s="171">
        <f>C44*Renditen!B46</f>
        <v>1.6377036977368954E-5</v>
      </c>
      <c r="M45" s="171">
        <f>D44*Renditen!C46</f>
        <v>5.6448989018959873E-3</v>
      </c>
      <c r="N45" s="171">
        <f>E44*Renditen!D46</f>
        <v>1.6535974492964125E-3</v>
      </c>
      <c r="O45" s="171">
        <f>F44*Renditen!E46</f>
        <v>7.4520346983049683E-3</v>
      </c>
      <c r="P45" s="171">
        <f>G44*Renditen!F46</f>
        <v>1.4806419654388597E-2</v>
      </c>
      <c r="Q45" s="171">
        <f>H44*Renditen!G46</f>
        <v>-9.9017729784509198E-4</v>
      </c>
      <c r="R45" s="171">
        <f>I44*Renditen!H46</f>
        <v>-6.5116611981204061E-4</v>
      </c>
      <c r="S45" s="171">
        <f>J44*Renditen!I46</f>
        <v>4.1657739429712274E-4</v>
      </c>
      <c r="T45" s="171">
        <f>K44*Renditen!J46</f>
        <v>1.103306054020658E-3</v>
      </c>
      <c r="U45" s="171">
        <f t="shared" si="0"/>
        <v>2.9451867771523983E-2</v>
      </c>
      <c r="W45" s="174">
        <f>Renditen!M46*Strategie!$B$4</f>
        <v>-8.8409539999999997E-6</v>
      </c>
      <c r="X45" s="175">
        <f>Strategie!$B$5*Renditen!N46</f>
        <v>3.97945038E-3</v>
      </c>
      <c r="Y45" s="176">
        <f>Strategie!$B$6*Renditen!O46</f>
        <v>2.1400746400000001E-3</v>
      </c>
      <c r="Z45" s="174">
        <f>Strategie!$B$7*Renditen!P46</f>
        <v>5.3089630559999997E-3</v>
      </c>
      <c r="AA45" s="174">
        <f>Strategie!$B$8*Renditen!Q46</f>
        <v>1.2632347568E-2</v>
      </c>
      <c r="AB45" s="174">
        <f>Strategie!$B$9*Renditen!R46</f>
        <v>-9.1375805999999995E-4</v>
      </c>
      <c r="AC45" s="174">
        <f>Strategie!$B$10*Renditen!S46</f>
        <v>1.1046924304000002E-2</v>
      </c>
      <c r="AD45" s="174">
        <f>Strategie!$B$11*Renditen!T46</f>
        <v>7.3749598400000009E-4</v>
      </c>
      <c r="AE45" s="174">
        <f>Strategie!$B$12*Renditen!U46</f>
        <v>3.0617689320000005E-3</v>
      </c>
      <c r="AF45" s="174">
        <f t="shared" si="1"/>
        <v>3.7984425850000003E-2</v>
      </c>
    </row>
    <row r="46" spans="1:32" x14ac:dyDescent="0.25">
      <c r="A46" s="179">
        <f>Vermögen!A48</f>
        <v>44804</v>
      </c>
      <c r="B46" s="169">
        <f>SUM(Vermögen!B48:J48)</f>
        <v>1165174397.2707016</v>
      </c>
      <c r="C46" s="166">
        <f>Vermögen!B48/Gesamtvermögen!$B46</f>
        <v>1.1924114728191888E-2</v>
      </c>
      <c r="D46" s="166">
        <f>Vermögen!C48/Gesamtvermögen!$B46</f>
        <v>0.15123960483183743</v>
      </c>
      <c r="E46" s="166">
        <f>Vermögen!D48/Gesamtvermögen!$B46</f>
        <v>7.8431936939074715E-2</v>
      </c>
      <c r="F46" s="166">
        <f>Vermögen!E48/Gesamtvermögen!$B46</f>
        <v>0.16750974603238944</v>
      </c>
      <c r="G46" s="166">
        <f>Vermögen!F48/Gesamtvermögen!$B46</f>
        <v>0.19046606077665587</v>
      </c>
      <c r="H46" s="166">
        <f>Vermögen!G48/Gesamtvermögen!$B46</f>
        <v>0.10662994383701105</v>
      </c>
      <c r="I46" s="166">
        <f>Vermögen!H48/Gesamtvermögen!$B46</f>
        <v>0.11848806578819469</v>
      </c>
      <c r="J46" s="166">
        <f>Vermögen!I48/Gesamtvermögen!$B46</f>
        <v>0.13740956192955239</v>
      </c>
      <c r="K46" s="166">
        <f>Vermögen!J48/Gesamtvermögen!$B46</f>
        <v>3.790096513709254E-2</v>
      </c>
      <c r="L46" s="171">
        <f>C45*Renditen!B47</f>
        <v>-2.4105794989703548E-6</v>
      </c>
      <c r="M46" s="171">
        <f>D45*Renditen!C47</f>
        <v>-4.7304124189655019E-3</v>
      </c>
      <c r="N46" s="171">
        <f>E45*Renditen!D47</f>
        <v>-7.2847843234888246E-4</v>
      </c>
      <c r="O46" s="171">
        <f>F45*Renditen!E47</f>
        <v>-5.2216986038638421E-3</v>
      </c>
      <c r="P46" s="171">
        <f>G45*Renditen!F47</f>
        <v>-7.206524917198317E-3</v>
      </c>
      <c r="Q46" s="171">
        <f>H45*Renditen!G47</f>
        <v>2.8382189963600153E-3</v>
      </c>
      <c r="R46" s="171">
        <f>I45*Renditen!H47</f>
        <v>2.8458461614775301E-3</v>
      </c>
      <c r="S46" s="171">
        <f>J45*Renditen!I47</f>
        <v>4.0587339686360779E-4</v>
      </c>
      <c r="T46" s="171">
        <f>K45*Renditen!J47</f>
        <v>-6.6356551722856398E-4</v>
      </c>
      <c r="U46" s="171">
        <f t="shared" si="0"/>
        <v>-1.2463151914402924E-2</v>
      </c>
      <c r="W46" s="174">
        <f>Renditen!M47*Strategie!$B$4</f>
        <v>-5.1787839999999998E-6</v>
      </c>
      <c r="X46" s="175">
        <f>Strategie!$B$5*Renditen!N47</f>
        <v>-4.6853761799999999E-3</v>
      </c>
      <c r="Y46" s="176">
        <f>Strategie!$B$6*Renditen!O47</f>
        <v>-3.3081109100000002E-3</v>
      </c>
      <c r="Z46" s="174">
        <f>Strategie!$B$7*Renditen!P47</f>
        <v>-3.6772370159999998E-3</v>
      </c>
      <c r="AA46" s="174">
        <f>Strategie!$B$8*Renditen!Q47</f>
        <v>-5.9216648320000002E-3</v>
      </c>
      <c r="AB46" s="174">
        <f>Strategie!$B$9*Renditen!R47</f>
        <v>3.4806897359999996E-3</v>
      </c>
      <c r="AC46" s="174">
        <f>Strategie!$B$10*Renditen!S47</f>
        <v>-4.054892888E-3</v>
      </c>
      <c r="AD46" s="174">
        <f>Strategie!$B$11*Renditen!T47</f>
        <v>7.8055644800000001E-4</v>
      </c>
      <c r="AE46" s="174">
        <f>Strategie!$B$12*Renditen!U47</f>
        <v>-2.3598932519999999E-3</v>
      </c>
      <c r="AF46" s="174">
        <f t="shared" si="1"/>
        <v>-1.9751107678E-2</v>
      </c>
    </row>
    <row r="47" spans="1:32" x14ac:dyDescent="0.25">
      <c r="A47" s="179">
        <f>Vermögen!A49</f>
        <v>44834</v>
      </c>
      <c r="B47" s="169">
        <f>SUM(Vermögen!B49:J49)</f>
        <v>1107015070.8470864</v>
      </c>
      <c r="C47" s="166">
        <f>Vermögen!B49/Gesamtvermögen!$B47</f>
        <v>1.2548618058690144E-2</v>
      </c>
      <c r="D47" s="166">
        <f>Vermögen!C49/Gesamtvermögen!$B47</f>
        <v>0.15573096948646234</v>
      </c>
      <c r="E47" s="166">
        <f>Vermögen!D49/Gesamtvermögen!$B47</f>
        <v>7.7974407236714435E-2</v>
      </c>
      <c r="F47" s="166">
        <f>Vermögen!E49/Gesamtvermögen!$B47</f>
        <v>0.16576686602929211</v>
      </c>
      <c r="G47" s="166">
        <f>Vermögen!F49/Gesamtvermögen!$B47</f>
        <v>0.18329208833019534</v>
      </c>
      <c r="H47" s="166">
        <f>Vermögen!G49/Gesamtvermögen!$B47</f>
        <v>9.9920121540239493E-2</v>
      </c>
      <c r="I47" s="166">
        <f>Vermögen!H49/Gesamtvermögen!$B47</f>
        <v>0.12011938485384684</v>
      </c>
      <c r="J47" s="166">
        <f>Vermögen!I49/Gesamtvermögen!$B47</f>
        <v>0.14506254344678285</v>
      </c>
      <c r="K47" s="166">
        <f>Vermögen!J49/Gesamtvermögen!$B47</f>
        <v>3.9585001017776497E-2</v>
      </c>
      <c r="L47" s="171">
        <f>C46*Renditen!B48</f>
        <v>-1.8571315494498592E-6</v>
      </c>
      <c r="M47" s="171">
        <f>D46*Renditen!C48</f>
        <v>-3.2818994248508724E-3</v>
      </c>
      <c r="N47" s="171">
        <f>E46*Renditen!D48</f>
        <v>-4.3495985753037565E-3</v>
      </c>
      <c r="O47" s="171">
        <f>F46*Renditen!E48</f>
        <v>-1.0017082812736888E-2</v>
      </c>
      <c r="P47" s="171">
        <f>G46*Renditen!F48</f>
        <v>-1.6322941408559409E-2</v>
      </c>
      <c r="Q47" s="171">
        <f>H46*Renditen!G48</f>
        <v>-1.1697304838920113E-2</v>
      </c>
      <c r="R47" s="171">
        <f>I46*Renditen!H48</f>
        <v>-4.3644035745662247E-3</v>
      </c>
      <c r="S47" s="171">
        <f>J46*Renditen!I48</f>
        <v>4.122286857886572E-4</v>
      </c>
      <c r="T47" s="171">
        <f>K46*Renditen!J48</f>
        <v>-2.9183743155561257E-4</v>
      </c>
      <c r="U47" s="171">
        <f t="shared" si="0"/>
        <v>-4.9914696512253671E-2</v>
      </c>
      <c r="W47" s="174">
        <f>Renditen!M48*Strategie!$B$4</f>
        <v>-1.3350840000000001E-6</v>
      </c>
      <c r="X47" s="175">
        <f>Strategie!$B$5*Renditen!N48</f>
        <v>-3.2749304000000003E-3</v>
      </c>
      <c r="Y47" s="176">
        <f>Strategie!$B$6*Renditen!O48</f>
        <v>-3.4058654700000004E-3</v>
      </c>
      <c r="Z47" s="174">
        <f>Strategie!$B$7*Renditen!P48</f>
        <v>-7.1751322919999996E-3</v>
      </c>
      <c r="AA47" s="174">
        <f>Strategie!$B$8*Renditen!Q48</f>
        <v>-1.3732156192E-2</v>
      </c>
      <c r="AB47" s="174">
        <f>Strategie!$B$9*Renditen!R48</f>
        <v>-1.3167013824E-2</v>
      </c>
      <c r="AC47" s="174">
        <f>Strategie!$B$10*Renditen!S48</f>
        <v>-1.1325177912E-2</v>
      </c>
      <c r="AD47" s="174">
        <f>Strategie!$B$11*Renditen!T48</f>
        <v>4.9582897600000003E-4</v>
      </c>
      <c r="AE47" s="174">
        <f>Strategie!$B$12*Renditen!U48</f>
        <v>-4.507241972E-3</v>
      </c>
      <c r="AF47" s="174">
        <f t="shared" si="1"/>
        <v>-5.6093024170000005E-2</v>
      </c>
    </row>
    <row r="48" spans="1:32" x14ac:dyDescent="0.25">
      <c r="A48" s="179">
        <f>Vermögen!A50</f>
        <v>44865</v>
      </c>
      <c r="B48" s="169">
        <f>SUM(Vermögen!B50:J50)</f>
        <v>1131341781.6733179</v>
      </c>
      <c r="C48" s="166">
        <f>Vermögen!B50/Gesamtvermögen!$B48</f>
        <v>1.2282295900442714E-2</v>
      </c>
      <c r="D48" s="166">
        <f>Vermögen!C50/Gesamtvermögen!$B48</f>
        <v>0.15342617877544656</v>
      </c>
      <c r="E48" s="166">
        <f>Vermögen!D50/Gesamtvermögen!$B48</f>
        <v>7.6090823337640362E-2</v>
      </c>
      <c r="F48" s="166">
        <f>Vermögen!E50/Gesamtvermögen!$B48</f>
        <v>0.17003683775548875</v>
      </c>
      <c r="G48" s="166">
        <f>Vermögen!F50/Gesamtvermögen!$B48</f>
        <v>0.19194127396109412</v>
      </c>
      <c r="H48" s="166">
        <f>Vermögen!G50/Gesamtvermögen!$B48</f>
        <v>9.6383229586544494E-2</v>
      </c>
      <c r="I48" s="166">
        <f>Vermögen!H50/Gesamtvermögen!$B48</f>
        <v>0.11948587510628401</v>
      </c>
      <c r="J48" s="166">
        <f>Vermögen!I50/Gesamtvermögen!$B48</f>
        <v>0.14236916172069855</v>
      </c>
      <c r="K48" s="166">
        <f>Vermögen!J50/Gesamtvermögen!$B48</f>
        <v>3.7984323856360615E-2</v>
      </c>
      <c r="L48" s="171">
        <f>C47*Renditen!B49</f>
        <v>3.5819004422550946E-6</v>
      </c>
      <c r="M48" s="171">
        <f>D47*Renditen!C49</f>
        <v>1.0667571409822671E-3</v>
      </c>
      <c r="N48" s="171">
        <f>E47*Renditen!D49</f>
        <v>-2.1148430024184146E-4</v>
      </c>
      <c r="O48" s="171">
        <f>F47*Renditen!E49</f>
        <v>8.0065396292148087E-3</v>
      </c>
      <c r="P48" s="171">
        <f>G47*Renditen!F49</f>
        <v>1.2867104600779711E-2</v>
      </c>
      <c r="Q48" s="171">
        <f>H47*Renditen!G49</f>
        <v>-1.4188657258714008E-3</v>
      </c>
      <c r="R48" s="171">
        <f>I47*Renditen!H49</f>
        <v>1.9921982559475476E-3</v>
      </c>
      <c r="S48" s="171">
        <f>J47*Renditen!I49</f>
        <v>4.3518763034034857E-4</v>
      </c>
      <c r="T48" s="171">
        <f>K47*Renditen!J49</f>
        <v>-7.6596976969397514E-4</v>
      </c>
      <c r="U48" s="171">
        <f t="shared" si="0"/>
        <v>2.1975049361899725E-2</v>
      </c>
      <c r="W48" s="174">
        <f>Renditen!M49*Strategie!$B$4</f>
        <v>1.38858E-6</v>
      </c>
      <c r="X48" s="175">
        <f>Strategie!$B$5*Renditen!N49</f>
        <v>1.4982520400000001E-3</v>
      </c>
      <c r="Y48" s="176">
        <f>Strategie!$B$6*Renditen!O49</f>
        <v>-6.3875436999999999E-4</v>
      </c>
      <c r="Z48" s="174">
        <f>Strategie!$B$7*Renditen!P49</f>
        <v>5.802961788E-3</v>
      </c>
      <c r="AA48" s="174">
        <f>Strategie!$B$8*Renditen!Q49</f>
        <v>1.1331379424000001E-2</v>
      </c>
      <c r="AB48" s="174">
        <f>Strategie!$B$9*Renditen!R49</f>
        <v>-1.7764314120000001E-3</v>
      </c>
      <c r="AC48" s="174">
        <f>Strategie!$B$10*Renditen!S49</f>
        <v>9.7559344800000006E-3</v>
      </c>
      <c r="AD48" s="174">
        <f>Strategie!$B$11*Renditen!T49</f>
        <v>7.5376707200000006E-4</v>
      </c>
      <c r="AE48" s="174">
        <f>Strategie!$B$12*Renditen!U49</f>
        <v>1.1688830560000001E-3</v>
      </c>
      <c r="AF48" s="174">
        <f t="shared" si="1"/>
        <v>2.7897380658000001E-2</v>
      </c>
    </row>
    <row r="49" spans="1:32" x14ac:dyDescent="0.25">
      <c r="A49" s="179">
        <f>Vermögen!A51</f>
        <v>44895</v>
      </c>
      <c r="B49" s="169">
        <f>SUM(Vermögen!B51:J51)</f>
        <v>1159783985.7678232</v>
      </c>
      <c r="C49" s="166">
        <f>Vermögen!B51/Gesamtvermögen!$B49</f>
        <v>1.1963823987828949E-2</v>
      </c>
      <c r="D49" s="166">
        <f>Vermögen!C51/Gesamtvermögen!$B49</f>
        <v>0.1518636548489416</v>
      </c>
      <c r="E49" s="166">
        <f>Vermögen!D51/Gesamtvermögen!$B49</f>
        <v>7.8458264496764657E-2</v>
      </c>
      <c r="F49" s="166">
        <f>Vermögen!E51/Gesamtvermögen!$B49</f>
        <v>0.1706272840989457</v>
      </c>
      <c r="G49" s="166">
        <f>Vermögen!F51/Gesamtvermögen!$B49</f>
        <v>0.19721374300128156</v>
      </c>
      <c r="H49" s="166">
        <f>Vermögen!G51/Gesamtvermögen!$B49</f>
        <v>0.10273516816856369</v>
      </c>
      <c r="I49" s="166">
        <f>Vermögen!H51/Gesamtvermögen!$B49</f>
        <v>0.11094761223133556</v>
      </c>
      <c r="J49" s="166">
        <f>Vermögen!I51/Gesamtvermögen!$B49</f>
        <v>0.13929437516134321</v>
      </c>
      <c r="K49" s="166">
        <f>Vermögen!J51/Gesamtvermögen!$B49</f>
        <v>3.6896074004995116E-2</v>
      </c>
      <c r="L49" s="171">
        <f>C48*Renditen!B50</f>
        <v>-1.7698504325705664E-5</v>
      </c>
      <c r="M49" s="171">
        <f>D48*Renditen!C50</f>
        <v>2.2553648279990644E-3</v>
      </c>
      <c r="N49" s="171">
        <f>E48*Renditen!D50</f>
        <v>4.3399007711233516E-3</v>
      </c>
      <c r="O49" s="171">
        <f>F48*Renditen!E50</f>
        <v>4.8800572435825276E-3</v>
      </c>
      <c r="P49" s="171">
        <f>G48*Renditen!F50</f>
        <v>1.0230469902126317E-2</v>
      </c>
      <c r="Q49" s="171">
        <f>H48*Renditen!G50</f>
        <v>8.9347253826726758E-3</v>
      </c>
      <c r="R49" s="171">
        <f>I48*Renditen!H50</f>
        <v>-5.7490132582549234E-3</v>
      </c>
      <c r="S49" s="171">
        <f>J48*Renditen!I50</f>
        <v>4.2710748516209564E-4</v>
      </c>
      <c r="T49" s="171">
        <f>K48*Renditen!J50</f>
        <v>-1.606736899124054E-4</v>
      </c>
      <c r="U49" s="171">
        <f t="shared" si="0"/>
        <v>2.5140240160172994E-2</v>
      </c>
      <c r="W49" s="174">
        <f>Renditen!M50*Strategie!$B$4</f>
        <v>2.9905800000000001E-6</v>
      </c>
      <c r="X49" s="175">
        <f>Strategie!$B$5*Renditen!N50</f>
        <v>2.3959021800000002E-3</v>
      </c>
      <c r="Y49" s="176">
        <f>Strategie!$B$6*Renditen!O50</f>
        <v>1.7314713600000001E-3</v>
      </c>
      <c r="Z49" s="174">
        <f>Strategie!$B$7*Renditen!P50</f>
        <v>3.4465351199999997E-3</v>
      </c>
      <c r="AA49" s="174">
        <f>Strategie!$B$8*Renditen!Q50</f>
        <v>8.4713061440000008E-3</v>
      </c>
      <c r="AB49" s="174">
        <f>Strategie!$B$9*Renditen!R50</f>
        <v>1.1188619795999999E-2</v>
      </c>
      <c r="AC49" s="174">
        <f>Strategie!$B$10*Renditen!S50</f>
        <v>3.7723518480000003E-3</v>
      </c>
      <c r="AD49" s="174">
        <f>Strategie!$B$11*Renditen!T50</f>
        <v>6.7912731200000013E-4</v>
      </c>
      <c r="AE49" s="174">
        <f>Strategie!$B$12*Renditen!U50</f>
        <v>1.903177508E-3</v>
      </c>
      <c r="AF49" s="174">
        <f t="shared" si="1"/>
        <v>3.3591481848000003E-2</v>
      </c>
    </row>
    <row r="50" spans="1:32" x14ac:dyDescent="0.25">
      <c r="A50" s="179">
        <f>Vermögen!A52</f>
        <v>44926</v>
      </c>
      <c r="B50" s="169">
        <f>SUM(Vermögen!B52:J52)</f>
        <v>1125474837.6440513</v>
      </c>
      <c r="C50" s="166">
        <f>Vermögen!B52/Gesamtvermögen!$B50</f>
        <v>1.2279697024959523E-2</v>
      </c>
      <c r="D50" s="166">
        <f>Vermögen!C52/Gesamtvermögen!$B50</f>
        <v>0.15179829717400367</v>
      </c>
      <c r="E50" s="166">
        <f>Vermögen!D52/Gesamtvermögen!$B50</f>
        <v>8.0497246014155102E-2</v>
      </c>
      <c r="F50" s="166">
        <f>Vermögen!E52/Gesamtvermögen!$B50</f>
        <v>0.17007911358312736</v>
      </c>
      <c r="G50" s="166">
        <f>Vermögen!F52/Gesamtvermögen!$B50</f>
        <v>0.19219048499369457</v>
      </c>
      <c r="H50" s="166">
        <f>Vermögen!G52/Gesamtvermögen!$B50</f>
        <v>0.10140996370685874</v>
      </c>
      <c r="I50" s="166">
        <f>Vermögen!H52/Gesamtvermögen!$B50</f>
        <v>0.10986805528326767</v>
      </c>
      <c r="J50" s="166">
        <f>Vermögen!I52/Gesamtvermögen!$B50</f>
        <v>0.14364112477894753</v>
      </c>
      <c r="K50" s="166">
        <f>Vermögen!J52/Gesamtvermögen!$B50</f>
        <v>3.8236017440985828E-2</v>
      </c>
      <c r="L50" s="171">
        <f>C49*Renditen!B51</f>
        <v>-4.7389388730096923E-5</v>
      </c>
      <c r="M50" s="171">
        <f>D49*Renditen!C51</f>
        <v>-4.5559096454682478E-3</v>
      </c>
      <c r="N50" s="171">
        <f>E49*Renditen!D51</f>
        <v>-3.4231704419207542E-4</v>
      </c>
      <c r="O50" s="171">
        <f>F49*Renditen!E51</f>
        <v>-5.5795121900355247E-3</v>
      </c>
      <c r="P50" s="171">
        <f>G49*Renditen!F51</f>
        <v>-1.0708706244969588E-2</v>
      </c>
      <c r="Q50" s="171">
        <f>H49*Renditen!G51</f>
        <v>-4.3251505798965317E-3</v>
      </c>
      <c r="R50" s="171">
        <f>I49*Renditen!H51</f>
        <v>-4.3297133815427356E-3</v>
      </c>
      <c r="S50" s="171">
        <f>J49*Renditen!I51</f>
        <v>9.7506062612940248E-5</v>
      </c>
      <c r="T50" s="171">
        <f>K49*Renditen!J51</f>
        <v>2.0883177886827237E-4</v>
      </c>
      <c r="U50" s="171">
        <f t="shared" si="0"/>
        <v>-2.958236063335359E-2</v>
      </c>
      <c r="W50" s="174">
        <f>Renditen!M51*Strategie!$B$4</f>
        <v>5.8556760000000007E-6</v>
      </c>
      <c r="X50" s="175">
        <f>Strategie!$B$5*Renditen!N51</f>
        <v>-3.2329169800000002E-3</v>
      </c>
      <c r="Y50" s="176">
        <f>Strategie!$B$6*Renditen!O51</f>
        <v>-2.43680636E-3</v>
      </c>
      <c r="Z50" s="174">
        <f>Strategie!$B$7*Renditen!P51</f>
        <v>-3.926836968E-3</v>
      </c>
      <c r="AA50" s="174">
        <f>Strategie!$B$8*Renditen!Q51</f>
        <v>-8.7135125920000008E-3</v>
      </c>
      <c r="AB50" s="174">
        <f>Strategie!$B$9*Renditen!R51</f>
        <v>-5.1078044999999994E-3</v>
      </c>
      <c r="AC50" s="174">
        <f>Strategie!$B$10*Renditen!S51</f>
        <v>-6.9287398560000006E-3</v>
      </c>
      <c r="AD50" s="174">
        <f>Strategie!$B$11*Renditen!T51</f>
        <v>6.7860044800000007E-4</v>
      </c>
      <c r="AE50" s="174">
        <f>Strategie!$B$12*Renditen!U51</f>
        <v>-1.5711185240000001E-3</v>
      </c>
      <c r="AF50" s="174">
        <f t="shared" si="1"/>
        <v>-3.1233279656E-2</v>
      </c>
    </row>
    <row r="51" spans="1:32" x14ac:dyDescent="0.25">
      <c r="A51" s="179">
        <f>Vermögen!A53</f>
        <v>44957</v>
      </c>
      <c r="B51" s="169">
        <f>SUM(Vermögen!B53:J53)</f>
        <v>1162826133.3146789</v>
      </c>
      <c r="C51" s="166">
        <f>Vermögen!B53/Gesamtvermögen!$B51</f>
        <v>1.1871484891058002E-2</v>
      </c>
      <c r="D51" s="166">
        <f>Vermögen!C53/Gesamtvermögen!$B51</f>
        <v>0.15059542260547898</v>
      </c>
      <c r="E51" s="166">
        <f>Vermögen!D53/Gesamtvermögen!$B51</f>
        <v>8.0208559035651827E-2</v>
      </c>
      <c r="F51" s="166">
        <f>Vermögen!E53/Gesamtvermögen!$B51</f>
        <v>0.17355462702620703</v>
      </c>
      <c r="G51" s="166">
        <f>Vermögen!F53/Gesamtvermögen!$B51</f>
        <v>0.19773618623272898</v>
      </c>
      <c r="H51" s="166">
        <f>Vermögen!G53/Gesamtvermögen!$B51</f>
        <v>0.10534714321909293</v>
      </c>
      <c r="I51" s="166">
        <f>Vermögen!H53/Gesamtvermögen!$B51</f>
        <v>0.10559211059678507</v>
      </c>
      <c r="J51" s="166">
        <f>Vermögen!I53/Gesamtvermögen!$B51</f>
        <v>0.13943038766684554</v>
      </c>
      <c r="K51" s="166">
        <f>Vermögen!J53/Gesamtvermögen!$B51</f>
        <v>3.5664078726151641E-2</v>
      </c>
      <c r="L51" s="171">
        <f>C50*Renditen!B52</f>
        <v>-1.4231453583965091E-5</v>
      </c>
      <c r="M51" s="171">
        <f>D50*Renditen!C52</f>
        <v>3.7949574293500918E-3</v>
      </c>
      <c r="N51" s="171">
        <f>E50*Renditen!D52</f>
        <v>2.3732060320298706E-3</v>
      </c>
      <c r="O51" s="171">
        <f>F50*Renditen!E52</f>
        <v>9.2352958675638152E-3</v>
      </c>
      <c r="P51" s="171">
        <f>G50*Renditen!F52</f>
        <v>1.2108000554602759E-2</v>
      </c>
      <c r="Q51" s="171">
        <f>H50*Renditen!G52</f>
        <v>7.4333503397127467E-3</v>
      </c>
      <c r="R51" s="171">
        <f>I50*Renditen!H52</f>
        <v>-7.7164409132928792E-4</v>
      </c>
      <c r="S51" s="171">
        <f>J50*Renditen!I52</f>
        <v>4.1655926185894782E-4</v>
      </c>
      <c r="T51" s="171">
        <f>K50*Renditen!J52</f>
        <v>-1.3883497932821955E-3</v>
      </c>
      <c r="U51" s="171">
        <f t="shared" si="0"/>
        <v>3.3187144146922788E-2</v>
      </c>
      <c r="W51" s="174">
        <f>Renditen!M52*Strategie!$B$4</f>
        <v>9.6439140000000009E-6</v>
      </c>
      <c r="X51" s="175">
        <f>Strategie!$B$5*Renditen!N52</f>
        <v>3.2860343600000005E-3</v>
      </c>
      <c r="Y51" s="176">
        <f>Strategie!$B$6*Renditen!O52</f>
        <v>1.90914633E-3</v>
      </c>
      <c r="Z51" s="174">
        <f>Strategie!$B$7*Renditen!P52</f>
        <v>6.6001983239999994E-3</v>
      </c>
      <c r="AA51" s="174">
        <f>Strategie!$B$8*Renditen!Q52</f>
        <v>9.9797196800000005E-3</v>
      </c>
      <c r="AB51" s="174">
        <f>Strategie!$B$9*Renditen!R52</f>
        <v>8.5727983799999997E-3</v>
      </c>
      <c r="AC51" s="174">
        <f>Strategie!$B$10*Renditen!S52</f>
        <v>8.8511222240000003E-3</v>
      </c>
      <c r="AD51" s="174">
        <f>Strategie!$B$11*Renditen!T52</f>
        <v>4.7847867199999998E-4</v>
      </c>
      <c r="AE51" s="174">
        <f>Strategie!$B$12*Renditen!U52</f>
        <v>3.233235992E-3</v>
      </c>
      <c r="AF51" s="174">
        <f t="shared" si="1"/>
        <v>4.2920377875999997E-2</v>
      </c>
    </row>
    <row r="52" spans="1:32" x14ac:dyDescent="0.25">
      <c r="A52" s="179">
        <f>Vermögen!A54</f>
        <v>44985</v>
      </c>
      <c r="B52" s="169">
        <f>SUM(Vermögen!B54:J54)</f>
        <v>1148288665.2722294</v>
      </c>
      <c r="C52" s="166">
        <f>Vermögen!B54/Gesamtvermögen!$B52</f>
        <v>1.2003711861210988E-2</v>
      </c>
      <c r="D52" s="166">
        <f>Vermögen!C54/Gesamtvermögen!$B52</f>
        <v>0.15010769711188679</v>
      </c>
      <c r="E52" s="166">
        <f>Vermögen!D54/Gesamtvermögen!$B52</f>
        <v>7.8969494748078961E-2</v>
      </c>
      <c r="F52" s="166">
        <f>Vermögen!E54/Gesamtvermögen!$B52</f>
        <v>0.17348464993851131</v>
      </c>
      <c r="G52" s="166">
        <f>Vermögen!F54/Gesamtvermögen!$B52</f>
        <v>0.196615213502978</v>
      </c>
      <c r="H52" s="166">
        <f>Vermögen!G54/Gesamtvermögen!$B52</f>
        <v>0.10180553544470734</v>
      </c>
      <c r="I52" s="166">
        <f>Vermögen!H54/Gesamtvermögen!$B52</f>
        <v>0.10908213242774764</v>
      </c>
      <c r="J52" s="166">
        <f>Vermögen!I54/Gesamtvermögen!$B52</f>
        <v>0.14160505980825952</v>
      </c>
      <c r="K52" s="166">
        <f>Vermögen!J54/Gesamtvermögen!$B52</f>
        <v>3.6326505156619393E-2</v>
      </c>
      <c r="L52" s="171">
        <f>C51*Renditen!B53</f>
        <v>-1.7841533274690398E-5</v>
      </c>
      <c r="M52" s="171">
        <f>D51*Renditen!C53</f>
        <v>-2.3643481349060196E-3</v>
      </c>
      <c r="N52" s="171">
        <f>E51*Renditen!D53</f>
        <v>-2.2263283964006472E-3</v>
      </c>
      <c r="O52" s="171">
        <f>F51*Renditen!E53</f>
        <v>-2.2388546886380708E-3</v>
      </c>
      <c r="P52" s="171">
        <f>G51*Renditen!F53</f>
        <v>-3.579024970812395E-3</v>
      </c>
      <c r="Q52" s="171">
        <f>H51*Renditen!G53</f>
        <v>-4.8143644451125464E-3</v>
      </c>
      <c r="R52" s="171">
        <f>I51*Renditen!H53</f>
        <v>2.1262942978959626E-3</v>
      </c>
      <c r="S52" s="171">
        <f>J51*Renditen!I53</f>
        <v>4.0434812423385206E-4</v>
      </c>
      <c r="T52" s="171">
        <f>K51*Renditen!J53</f>
        <v>2.0827821976072557E-4</v>
      </c>
      <c r="U52" s="171">
        <f t="shared" si="0"/>
        <v>-1.2501841527253827E-2</v>
      </c>
      <c r="W52" s="174">
        <f>Renditen!M53*Strategie!$B$4</f>
        <v>1.2164682E-5</v>
      </c>
      <c r="X52" s="175">
        <f>Strategie!$B$5*Renditen!N53</f>
        <v>-2.1552779800000001E-3</v>
      </c>
      <c r="Y52" s="176">
        <f>Strategie!$B$6*Renditen!O53</f>
        <v>-1.9263544000000001E-3</v>
      </c>
      <c r="Z52" s="174">
        <f>Strategie!$B$7*Renditen!P53</f>
        <v>-1.5471315239999998E-3</v>
      </c>
      <c r="AA52" s="174">
        <f>Strategie!$B$8*Renditen!Q53</f>
        <v>-2.8914435999999998E-3</v>
      </c>
      <c r="AB52" s="174">
        <f>Strategie!$B$9*Renditen!R53</f>
        <v>-5.5214993640000003E-3</v>
      </c>
      <c r="AC52" s="174">
        <f>Strategie!$B$10*Renditen!S53</f>
        <v>1.448535848E-3</v>
      </c>
      <c r="AD52" s="174">
        <f>Strategie!$B$11*Renditen!T53</f>
        <v>3.9707385600000001E-4</v>
      </c>
      <c r="AE52" s="174">
        <f>Strategie!$B$12*Renditen!U53</f>
        <v>-1.4661500799999999E-3</v>
      </c>
      <c r="AF52" s="174">
        <f t="shared" si="1"/>
        <v>-1.3650082562E-2</v>
      </c>
    </row>
    <row r="53" spans="1:32" x14ac:dyDescent="0.25">
      <c r="A53" s="179">
        <f>Vermögen!A55</f>
        <v>45016</v>
      </c>
      <c r="B53" s="169">
        <f>SUM(Vermögen!B55:J55)</f>
        <v>1155824153.8175373</v>
      </c>
      <c r="C53" s="166">
        <f>Vermögen!B55/Gesamtvermögen!$B53</f>
        <v>1.192050023656826E-2</v>
      </c>
      <c r="D53" s="166">
        <f>Vermögen!C55/Gesamtvermögen!$B53</f>
        <v>0.1502624387459876</v>
      </c>
      <c r="E53" s="166">
        <f>Vermögen!D55/Gesamtvermögen!$B53</f>
        <v>7.8562398529797683E-2</v>
      </c>
      <c r="F53" s="166">
        <f>Vermögen!E55/Gesamtvermögen!$B53</f>
        <v>0.17528361405587026</v>
      </c>
      <c r="G53" s="166">
        <f>Vermögen!F55/Gesamtvermögen!$B53</f>
        <v>0.19963069882847964</v>
      </c>
      <c r="H53" s="166">
        <f>Vermögen!G55/Gesamtvermögen!$B53</f>
        <v>0.10162728673626061</v>
      </c>
      <c r="I53" s="166">
        <f>Vermögen!H55/Gesamtvermögen!$B53</f>
        <v>0.10689955374495312</v>
      </c>
      <c r="J53" s="166">
        <f>Vermögen!I55/Gesamtvermögen!$B53</f>
        <v>0.14108983160739599</v>
      </c>
      <c r="K53" s="166">
        <f>Vermögen!J55/Gesamtvermögen!$B53</f>
        <v>3.4723677514686802E-2</v>
      </c>
      <c r="L53" s="171">
        <f>C52*Renditen!B54</f>
        <v>-4.9849594289742068E-6</v>
      </c>
      <c r="M53" s="171">
        <f>D52*Renditen!C54</f>
        <v>1.1408184980503395E-3</v>
      </c>
      <c r="N53" s="171">
        <f>E52*Renditen!D54</f>
        <v>1.0845886130566271E-4</v>
      </c>
      <c r="O53" s="171">
        <f>F52*Renditen!E54</f>
        <v>2.9492390489546925E-3</v>
      </c>
      <c r="P53" s="171">
        <f>G52*Renditen!F54</f>
        <v>4.3255346970655162E-3</v>
      </c>
      <c r="Q53" s="171">
        <f>H52*Renditen!G54</f>
        <v>4.8866657013459526E-4</v>
      </c>
      <c r="R53" s="171">
        <f>I52*Renditen!H54</f>
        <v>-1.481064867405032E-3</v>
      </c>
      <c r="S53" s="171">
        <f>J52*Renditen!I54</f>
        <v>4.1065467344395256E-4</v>
      </c>
      <c r="T53" s="171">
        <f>K52*Renditen!J54</f>
        <v>-1.3749582201780441E-3</v>
      </c>
      <c r="U53" s="171">
        <f t="shared" si="0"/>
        <v>6.5623643019427072E-3</v>
      </c>
      <c r="W53" s="174">
        <f>Renditen!M54*Strategie!$B$4</f>
        <v>1.6529646000000001E-5</v>
      </c>
      <c r="X53" s="175">
        <f>Strategie!$B$5*Renditen!N54</f>
        <v>1.1554015999999999E-4</v>
      </c>
      <c r="Y53" s="176">
        <f>Strategie!$B$6*Renditen!O54</f>
        <v>2.2958484800000003E-3</v>
      </c>
      <c r="Z53" s="174">
        <f>Strategie!$B$7*Renditen!P54</f>
        <v>2.0436984599999999E-3</v>
      </c>
      <c r="AA53" s="174">
        <f>Strategie!$B$8*Renditen!Q54</f>
        <v>3.4907331360000001E-3</v>
      </c>
      <c r="AB53" s="174">
        <f>Strategie!$B$9*Renditen!R54</f>
        <v>5.0820311999999999E-4</v>
      </c>
      <c r="AC53" s="174">
        <f>Strategie!$B$10*Renditen!S54</f>
        <v>-5.699806872E-3</v>
      </c>
      <c r="AD53" s="174">
        <f>Strategie!$B$11*Renditen!T54</f>
        <v>3.1403871999999999E-4</v>
      </c>
      <c r="AE53" s="174">
        <f>Strategie!$B$12*Renditen!U54</f>
        <v>-1.5219347E-3</v>
      </c>
      <c r="AF53" s="174">
        <f t="shared" si="1"/>
        <v>1.5628501500000015E-3</v>
      </c>
    </row>
    <row r="54" spans="1:32" x14ac:dyDescent="0.25">
      <c r="A54" s="179">
        <f>Vermögen!A56</f>
        <v>45046</v>
      </c>
      <c r="B54" s="169">
        <f>SUM(Vermögen!B56:J56)</f>
        <v>1159874984.3563738</v>
      </c>
      <c r="C54" s="166">
        <f>Vermögen!B56/Gesamtvermögen!$B54</f>
        <v>1.1885708532951671E-2</v>
      </c>
      <c r="D54" s="166">
        <f>Vermögen!C56/Gesamtvermögen!$B54</f>
        <v>0.15102539523595826</v>
      </c>
      <c r="E54" s="166">
        <f>Vermögen!D56/Gesamtvermögen!$B54</f>
        <v>7.8362347786524109E-2</v>
      </c>
      <c r="F54" s="166">
        <f>Vermögen!E56/Gesamtvermögen!$B54</f>
        <v>0.18097708001726451</v>
      </c>
      <c r="G54" s="166">
        <f>Vermögen!F56/Gesamtvermögen!$B54</f>
        <v>0.20142016294405926</v>
      </c>
      <c r="H54" s="166">
        <f>Vermögen!G56/Gesamtvermögen!$B54</f>
        <v>9.7424006775126956E-2</v>
      </c>
      <c r="I54" s="166">
        <f>Vermögen!H56/Gesamtvermögen!$B54</f>
        <v>0.10377594098560157</v>
      </c>
      <c r="J54" s="166">
        <f>Vermögen!I56/Gesamtvermögen!$B54</f>
        <v>0.14100481089589004</v>
      </c>
      <c r="K54" s="166">
        <f>Vermögen!J56/Gesamtvermögen!$B54</f>
        <v>3.4124546826623636E-2</v>
      </c>
      <c r="L54" s="171">
        <f>C53*Renditen!B55</f>
        <v>6.8642792091420431E-6</v>
      </c>
      <c r="M54" s="171">
        <f>D53*Renditen!C55</f>
        <v>1.2922569732154933E-3</v>
      </c>
      <c r="N54" s="171">
        <f>E53*Renditen!D55</f>
        <v>7.4586700891381182E-5</v>
      </c>
      <c r="O54" s="171">
        <f>F53*Renditen!E55</f>
        <v>6.3277384674169162E-3</v>
      </c>
      <c r="P54" s="171">
        <f>G53*Renditen!F55</f>
        <v>2.4953837353559956E-3</v>
      </c>
      <c r="Q54" s="171">
        <f>H53*Renditen!G55</f>
        <v>-3.861836895977903E-3</v>
      </c>
      <c r="R54" s="171">
        <f>I53*Renditen!H55</f>
        <v>-2.7599079954802397E-3</v>
      </c>
      <c r="S54" s="171">
        <f>J53*Renditen!I55</f>
        <v>4.0916051166144834E-4</v>
      </c>
      <c r="T54" s="171">
        <f>K53*Renditen!J55</f>
        <v>-4.795339864778247E-4</v>
      </c>
      <c r="U54" s="171">
        <f t="shared" si="0"/>
        <v>3.504711789814409E-3</v>
      </c>
      <c r="W54" s="174">
        <f>Renditen!M55*Strategie!$B$4</f>
        <v>1.8362945999999999E-5</v>
      </c>
      <c r="X54" s="175">
        <f>Strategie!$B$5*Renditen!N55</f>
        <v>1.6001319600000001E-3</v>
      </c>
      <c r="Y54" s="176">
        <f>Strategie!$B$6*Renditen!O55</f>
        <v>2.4688400000000002E-5</v>
      </c>
      <c r="Z54" s="174">
        <f>Strategie!$B$7*Renditen!P55</f>
        <v>4.3381902119999996E-3</v>
      </c>
      <c r="AA54" s="174">
        <f>Strategie!$B$8*Renditen!Q55</f>
        <v>1.955014368E-3</v>
      </c>
      <c r="AB54" s="174">
        <f>Strategie!$B$9*Renditen!R55</f>
        <v>-4.4117442120000004E-3</v>
      </c>
      <c r="AC54" s="174">
        <f>Strategie!$B$10*Renditen!S55</f>
        <v>3.2912161600000001E-4</v>
      </c>
      <c r="AD54" s="174">
        <f>Strategie!$B$11*Renditen!T55</f>
        <v>2.9731113600000003E-4</v>
      </c>
      <c r="AE54" s="174">
        <f>Strategie!$B$12*Renditen!U55</f>
        <v>7.1074925600000006E-4</v>
      </c>
      <c r="AF54" s="174">
        <f t="shared" si="1"/>
        <v>4.8618256819999983E-3</v>
      </c>
    </row>
    <row r="55" spans="1:32" x14ac:dyDescent="0.25">
      <c r="A55" s="179">
        <f>Vermögen!A57</f>
        <v>45077</v>
      </c>
      <c r="B55" s="169">
        <f>SUM(Vermögen!B57:J57)</f>
        <v>1161521128.8474762</v>
      </c>
      <c r="C55" s="166">
        <f>Vermögen!B57/Gesamtvermögen!$B55</f>
        <v>1.1837380179328243E-2</v>
      </c>
      <c r="D55" s="166">
        <f>Vermögen!C57/Gesamtvermögen!$B55</f>
        <v>0.15305844649109646</v>
      </c>
      <c r="E55" s="166">
        <f>Vermögen!D57/Gesamtvermögen!$B55</f>
        <v>7.7241766214167076E-2</v>
      </c>
      <c r="F55" s="166">
        <f>Vermögen!E57/Gesamtvermögen!$B55</f>
        <v>0.17730497435530648</v>
      </c>
      <c r="G55" s="166">
        <f>Vermögen!F57/Gesamtvermögen!$B55</f>
        <v>0.2002698246899188</v>
      </c>
      <c r="H55" s="166">
        <f>Vermögen!G57/Gesamtvermögen!$B55</f>
        <v>9.8229607954088347E-2</v>
      </c>
      <c r="I55" s="166">
        <f>Vermögen!H57/Gesamtvermögen!$B55</f>
        <v>0.10641684061072927</v>
      </c>
      <c r="J55" s="166">
        <f>Vermögen!I57/Gesamtvermögen!$B55</f>
        <v>0.14121330884269709</v>
      </c>
      <c r="K55" s="166">
        <f>Vermögen!J57/Gesamtvermögen!$B55</f>
        <v>3.4427850662668256E-2</v>
      </c>
      <c r="L55" s="171">
        <f>C54*Renditen!B56</f>
        <v>-3.1528234270824128E-5</v>
      </c>
      <c r="M55" s="171">
        <f>D54*Renditen!C56</f>
        <v>2.250278389015778E-3</v>
      </c>
      <c r="N55" s="171">
        <f>E54*Renditen!D56</f>
        <v>-1.0109567337740829E-3</v>
      </c>
      <c r="O55" s="171">
        <f>F54*Renditen!E56</f>
        <v>-3.4204668123262992E-3</v>
      </c>
      <c r="P55" s="171">
        <f>G54*Renditen!F56</f>
        <v>-8.6610670065945478E-4</v>
      </c>
      <c r="Q55" s="171">
        <f>H54*Renditen!G56</f>
        <v>9.4501286571873147E-4</v>
      </c>
      <c r="R55" s="171">
        <f>I54*Renditen!H56</f>
        <v>2.7919309847953999E-3</v>
      </c>
      <c r="S55" s="171">
        <f>J54*Renditen!I56</f>
        <v>4.089139515980811E-4</v>
      </c>
      <c r="T55" s="171">
        <f>K54*Renditen!J56</f>
        <v>3.521653232507559E-4</v>
      </c>
      <c r="U55" s="171">
        <f t="shared" si="0"/>
        <v>1.4192430333480853E-3</v>
      </c>
      <c r="W55" s="174">
        <f>Renditen!M56*Strategie!$B$4</f>
        <v>2.1575297999999998E-5</v>
      </c>
      <c r="X55" s="175">
        <f>Strategie!$B$5*Renditen!N56</f>
        <v>1.70198838E-3</v>
      </c>
      <c r="Y55" s="176">
        <f>Strategie!$B$6*Renditen!O56</f>
        <v>-8.2076696000000008E-4</v>
      </c>
      <c r="Z55" s="174">
        <f>Strategie!$B$7*Renditen!P56</f>
        <v>-2.26474128E-3</v>
      </c>
      <c r="AA55" s="174">
        <f>Strategie!$B$8*Renditen!Q56</f>
        <v>-7.1509126399999998E-4</v>
      </c>
      <c r="AB55" s="174">
        <f>Strategie!$B$9*Renditen!R56</f>
        <v>1.1790607440000001E-3</v>
      </c>
      <c r="AC55" s="174">
        <f>Strategie!$B$10*Renditen!S56</f>
        <v>1.3445545760000001E-3</v>
      </c>
      <c r="AD55" s="174">
        <f>Strategie!$B$11*Renditen!T56</f>
        <v>4.3639968000000001E-4</v>
      </c>
      <c r="AE55" s="174">
        <f>Strategie!$B$12*Renditen!U56</f>
        <v>-1.6107237439999999E-3</v>
      </c>
      <c r="AF55" s="174">
        <f t="shared" si="1"/>
        <v>-7.2774457000000011E-4</v>
      </c>
    </row>
    <row r="56" spans="1:32" x14ac:dyDescent="0.25">
      <c r="A56" s="179">
        <f>Vermögen!A58</f>
        <v>45107</v>
      </c>
      <c r="B56" s="169">
        <f>SUM(Vermögen!B58:J58)</f>
        <v>1178772223.9581437</v>
      </c>
      <c r="C56" s="166">
        <f>Vermögen!B58/Gesamtvermögen!$B56</f>
        <v>1.1664504530438888E-2</v>
      </c>
      <c r="D56" s="166">
        <f>Vermögen!C58/Gesamtvermögen!$B56</f>
        <v>0.15091499063928301</v>
      </c>
      <c r="E56" s="166">
        <f>Vermögen!D58/Gesamtvermögen!$B56</f>
        <v>7.7888447766926272E-2</v>
      </c>
      <c r="F56" s="166">
        <f>Vermögen!E58/Gesamtvermögen!$B56</f>
        <v>0.17558370236980991</v>
      </c>
      <c r="G56" s="166">
        <f>Vermögen!F58/Gesamtvermögen!$B56</f>
        <v>0.20811362077880788</v>
      </c>
      <c r="H56" s="166">
        <f>Vermögen!G58/Gesamtvermögen!$B56</f>
        <v>9.8321351530287607E-2</v>
      </c>
      <c r="I56" s="166">
        <f>Vermögen!H58/Gesamtvermögen!$B56</f>
        <v>0.10444931188504782</v>
      </c>
      <c r="J56" s="166">
        <f>Vermögen!I58/Gesamtvermögen!$B56</f>
        <v>0.13955020575933938</v>
      </c>
      <c r="K56" s="166">
        <f>Vermögen!J58/Gesamtvermögen!$B56</f>
        <v>3.3513864740059143E-2</v>
      </c>
      <c r="L56" s="171">
        <f>C55*Renditen!B57</f>
        <v>3.6741322616633407E-7</v>
      </c>
      <c r="M56" s="171">
        <f>D55*Renditen!C57</f>
        <v>9.7957405754301737E-5</v>
      </c>
      <c r="N56" s="171">
        <f>E55*Renditen!D57</f>
        <v>1.8034930709299856E-3</v>
      </c>
      <c r="O56" s="171">
        <f>F55*Renditen!E57</f>
        <v>8.8652487177653244E-4</v>
      </c>
      <c r="P56" s="171">
        <f>G55*Renditen!F57</f>
        <v>1.0934732428069567E-2</v>
      </c>
      <c r="Q56" s="171">
        <f>H55*Renditen!G57</f>
        <v>1.5520278056745959E-3</v>
      </c>
      <c r="R56" s="171">
        <f>I55*Renditen!H57</f>
        <v>-4.1623106193544189E-4</v>
      </c>
      <c r="S56" s="171">
        <f>J55*Renditen!I57</f>
        <v>4.0951859564382153E-4</v>
      </c>
      <c r="T56" s="171">
        <f>K55*Renditen!J57</f>
        <v>-4.162327145116592E-4</v>
      </c>
      <c r="U56" s="171">
        <f t="shared" si="0"/>
        <v>1.4852157814627868E-2</v>
      </c>
      <c r="W56" s="174">
        <f>Renditen!M57*Strategie!$B$4</f>
        <v>2.3129460000000003E-5</v>
      </c>
      <c r="X56" s="175">
        <f>Strategie!$B$5*Renditen!N57</f>
        <v>-6.0040568000000003E-4</v>
      </c>
      <c r="Y56" s="176">
        <f>Strategie!$B$6*Renditen!O57</f>
        <v>-5.9549326000000004E-4</v>
      </c>
      <c r="Z56" s="174">
        <f>Strategie!$B$7*Renditen!P57</f>
        <v>5.9446150799999993E-4</v>
      </c>
      <c r="AA56" s="174">
        <f>Strategie!$B$8*Renditen!Q57</f>
        <v>8.7136024160000009E-3</v>
      </c>
      <c r="AB56" s="174">
        <f>Strategie!$B$9*Renditen!R57</f>
        <v>1.8992959679999999E-3</v>
      </c>
      <c r="AC56" s="174">
        <f>Strategie!$B$10*Renditen!S57</f>
        <v>3.363010224E-3</v>
      </c>
      <c r="AD56" s="174">
        <f>Strategie!$B$11*Renditen!T57</f>
        <v>1.01041168E-4</v>
      </c>
      <c r="AE56" s="174">
        <f>Strategie!$B$12*Renditen!U57</f>
        <v>1.1061049800000001E-3</v>
      </c>
      <c r="AF56" s="174">
        <f t="shared" si="1"/>
        <v>1.4604746784000002E-2</v>
      </c>
    </row>
    <row r="57" spans="1:32" x14ac:dyDescent="0.25">
      <c r="A57" s="179">
        <f>Vermögen!A59</f>
        <v>45138</v>
      </c>
      <c r="B57" s="169">
        <f>SUM(Vermögen!B59:J59)</f>
        <v>1187659437.1210301</v>
      </c>
      <c r="C57" s="166">
        <f>Vermögen!B59/Gesamtvermögen!$B57</f>
        <v>1.1583755895538292E-2</v>
      </c>
      <c r="D57" s="166">
        <f>Vermögen!C59/Gesamtvermögen!$B57</f>
        <v>0.14996544199169543</v>
      </c>
      <c r="E57" s="166">
        <f>Vermögen!D59/Gesamtvermögen!$B57</f>
        <v>7.8559989247696388E-2</v>
      </c>
      <c r="F57" s="166">
        <f>Vermögen!E59/Gesamtvermögen!$B57</f>
        <v>0.17503660298364412</v>
      </c>
      <c r="G57" s="166">
        <f>Vermögen!F59/Gesamtvermögen!$B57</f>
        <v>0.21196808941157744</v>
      </c>
      <c r="H57" s="166">
        <f>Vermögen!G59/Gesamtvermögen!$B57</f>
        <v>0.10048390917343591</v>
      </c>
      <c r="I57" s="166">
        <f>Vermögen!H59/Gesamtvermögen!$B57</f>
        <v>0.10033528659821195</v>
      </c>
      <c r="J57" s="166">
        <f>Vermögen!I59/Gesamtvermögen!$B57</f>
        <v>0.1389076238262498</v>
      </c>
      <c r="K57" s="166">
        <f>Vermögen!J59/Gesamtvermögen!$B57</f>
        <v>3.3159300871950778E-2</v>
      </c>
      <c r="L57" s="171">
        <f>C56*Renditen!B58</f>
        <v>6.5857167053552696E-6</v>
      </c>
      <c r="M57" s="171">
        <f>D56*Renditen!C58</f>
        <v>1.8109798876713961E-4</v>
      </c>
      <c r="N57" s="171">
        <f>E56*Renditen!D58</f>
        <v>1.2638351880089635E-3</v>
      </c>
      <c r="O57" s="171">
        <f>F56*Renditen!E58</f>
        <v>7.7256829042716372E-4</v>
      </c>
      <c r="P57" s="171">
        <f>G56*Renditen!F58</f>
        <v>5.4525768644047663E-3</v>
      </c>
      <c r="Q57" s="171">
        <f>H56*Renditen!G58</f>
        <v>2.9201441404495421E-3</v>
      </c>
      <c r="R57" s="171">
        <f>I56*Renditen!H58</f>
        <v>-3.3575593117864985E-3</v>
      </c>
      <c r="S57" s="171">
        <f>J56*Renditen!I58</f>
        <v>4.0469559670208417E-4</v>
      </c>
      <c r="T57" s="171">
        <f>K56*Renditen!J58</f>
        <v>-1.0456325798898453E-4</v>
      </c>
      <c r="U57" s="171">
        <f t="shared" si="0"/>
        <v>7.5393812156895309E-3</v>
      </c>
      <c r="W57" s="174">
        <f>Renditen!M58*Strategie!$B$4</f>
        <v>2.5970670000000003E-5</v>
      </c>
      <c r="X57" s="175">
        <f>Strategie!$B$5*Renditen!N58</f>
        <v>6.3476562000000004E-4</v>
      </c>
      <c r="Y57" s="176">
        <f>Strategie!$B$6*Renditen!O58</f>
        <v>-6.0847812999999999E-4</v>
      </c>
      <c r="Z57" s="174">
        <f>Strategie!$B$7*Renditen!P58</f>
        <v>5.2725886799999996E-4</v>
      </c>
      <c r="AA57" s="174">
        <f>Strategie!$B$8*Renditen!Q58</f>
        <v>4.1445169440000006E-3</v>
      </c>
      <c r="AB57" s="174">
        <f>Strategie!$B$9*Renditen!R58</f>
        <v>3.5092510439999999E-3</v>
      </c>
      <c r="AC57" s="174">
        <f>Strategie!$B$10*Renditen!S58</f>
        <v>2.6836518480000001E-3</v>
      </c>
      <c r="AD57" s="174">
        <f>Strategie!$B$11*Renditen!T58</f>
        <v>8.7307328E-5</v>
      </c>
      <c r="AE57" s="174">
        <f>Strategie!$B$12*Renditen!U58</f>
        <v>1.1749876680000001E-3</v>
      </c>
      <c r="AF57" s="174">
        <f t="shared" si="1"/>
        <v>1.217923186E-2</v>
      </c>
    </row>
    <row r="58" spans="1:32" x14ac:dyDescent="0.25">
      <c r="A58" s="179">
        <f>Vermögen!A60</f>
        <v>45169</v>
      </c>
      <c r="B58" s="169">
        <f>SUM(Vermögen!B60:J60)</f>
        <v>1175352592.8549299</v>
      </c>
      <c r="C58" s="166">
        <f>Vermögen!B60/Gesamtvermögen!$B58</f>
        <v>1.1710528458936312E-2</v>
      </c>
      <c r="D58" s="166">
        <f>Vermögen!C60/Gesamtvermögen!$B58</f>
        <v>0.15256613806447425</v>
      </c>
      <c r="E58" s="166">
        <f>Vermögen!D60/Gesamtvermögen!$B58</f>
        <v>7.7621695050837755E-2</v>
      </c>
      <c r="F58" s="166">
        <f>Vermögen!E60/Gesamtvermögen!$B58</f>
        <v>0.17375646971405162</v>
      </c>
      <c r="G58" s="166">
        <f>Vermögen!F60/Gesamtvermögen!$B58</f>
        <v>0.20977529439320172</v>
      </c>
      <c r="H58" s="166">
        <f>Vermögen!G60/Gesamtvermögen!$B58</f>
        <v>9.6956776885265536E-2</v>
      </c>
      <c r="I58" s="166">
        <f>Vermögen!H60/Gesamtvermögen!$B58</f>
        <v>0.10330394331878671</v>
      </c>
      <c r="J58" s="166">
        <f>Vermögen!I60/Gesamtvermögen!$B58</f>
        <v>0.14076914339326971</v>
      </c>
      <c r="K58" s="166">
        <f>Vermögen!J60/Gesamtvermögen!$B58</f>
        <v>3.3540010721176419E-2</v>
      </c>
      <c r="L58" s="171">
        <f>C57*Renditen!B59</f>
        <v>5.4249400698889915E-6</v>
      </c>
      <c r="M58" s="171">
        <f>D57*Renditen!C59</f>
        <v>1.0197650055435289E-3</v>
      </c>
      <c r="N58" s="171">
        <f>E57*Renditen!D59</f>
        <v>-1.7426309307770958E-3</v>
      </c>
      <c r="O58" s="171">
        <f>F57*Renditen!E59</f>
        <v>-3.0806442125121368E-3</v>
      </c>
      <c r="P58" s="171">
        <f>G57*Renditen!F59</f>
        <v>-4.366542641878495E-3</v>
      </c>
      <c r="Q58" s="171">
        <f>H57*Renditen!G59</f>
        <v>-4.5318243037219602E-3</v>
      </c>
      <c r="R58" s="171">
        <f>I57*Renditen!H59</f>
        <v>1.8981936713523488E-3</v>
      </c>
      <c r="S58" s="171">
        <f>J57*Renditen!I59</f>
        <v>4.0283210909612438E-4</v>
      </c>
      <c r="T58" s="171">
        <f>K57*Renditen!J59</f>
        <v>3.3159300871950779E-5</v>
      </c>
      <c r="U58" s="171">
        <f t="shared" si="0"/>
        <v>-1.0362267061955846E-2</v>
      </c>
      <c r="W58" s="174">
        <f>Renditen!M59*Strategie!$B$4</f>
        <v>2.7864142000000001E-5</v>
      </c>
      <c r="X58" s="175">
        <f>Strategie!$B$5*Renditen!N59</f>
        <v>9.7347286000000011E-4</v>
      </c>
      <c r="Y58" s="176">
        <f>Strategie!$B$6*Renditen!O59</f>
        <v>-5.0030723999999998E-4</v>
      </c>
      <c r="Z58" s="174">
        <f>Strategie!$B$7*Renditen!P59</f>
        <v>-2.109054216E-3</v>
      </c>
      <c r="AA58" s="174">
        <f>Strategie!$B$8*Renditen!Q59</f>
        <v>-3.3138114239999999E-3</v>
      </c>
      <c r="AB58" s="174">
        <f>Strategie!$B$9*Renditen!R59</f>
        <v>-5.2616225999999999E-3</v>
      </c>
      <c r="AC58" s="174">
        <f>Strategie!$B$10*Renditen!S59</f>
        <v>3.1347753600000002E-4</v>
      </c>
      <c r="AD58" s="174">
        <f>Strategie!$B$11*Renditen!T59</f>
        <v>4.2008283200000004E-4</v>
      </c>
      <c r="AE58" s="174">
        <f>Strategie!$B$12*Renditen!U59</f>
        <v>-1.1286801880000001E-3</v>
      </c>
      <c r="AF58" s="174">
        <f t="shared" si="1"/>
        <v>-1.0578578297999998E-2</v>
      </c>
    </row>
    <row r="59" spans="1:32" x14ac:dyDescent="0.25">
      <c r="A59" s="179">
        <f>Vermögen!A61</f>
        <v>45199</v>
      </c>
      <c r="B59" s="169">
        <f>SUM(Vermögen!B61:J61)</f>
        <v>1162849058.9044883</v>
      </c>
      <c r="C59" s="166">
        <f>Vermögen!B61/Gesamtvermögen!$B59</f>
        <v>1.1826030693331177E-2</v>
      </c>
      <c r="D59" s="166">
        <f>Vermögen!C61/Gesamtvermögen!$B59</f>
        <v>0.1527755680931103</v>
      </c>
      <c r="E59" s="166">
        <f>Vermögen!D61/Gesamtvermögen!$B59</f>
        <v>7.5837657649286142E-2</v>
      </c>
      <c r="F59" s="166">
        <f>Vermögen!E61/Gesamtvermögen!$B59</f>
        <v>0.1720771653930106</v>
      </c>
      <c r="G59" s="166">
        <f>Vermögen!F61/Gesamtvermögen!$B59</f>
        <v>0.20329522993635271</v>
      </c>
      <c r="H59" s="166">
        <f>Vermögen!G61/Gesamtvermögen!$B59</f>
        <v>9.8685299714490332E-2</v>
      </c>
      <c r="I59" s="166">
        <f>Vermögen!H61/Gesamtvermögen!$B59</f>
        <v>0.11008650799119034</v>
      </c>
      <c r="J59" s="166">
        <f>Vermögen!I61/Gesamtvermögen!$B59</f>
        <v>0.14233967664578431</v>
      </c>
      <c r="K59" s="166">
        <f>Vermögen!J61/Gesamtvermögen!$B59</f>
        <v>3.3076863883444073E-2</v>
      </c>
      <c r="L59" s="171">
        <f>C58*Renditen!B60</f>
        <v>-1.0304419005934116E-5</v>
      </c>
      <c r="M59" s="171">
        <f>D58*Renditen!C60</f>
        <v>-1.415813761238321E-3</v>
      </c>
      <c r="N59" s="171">
        <f>E58*Renditen!D60</f>
        <v>-2.5908069895920417E-3</v>
      </c>
      <c r="O59" s="171">
        <f>F58*Renditen!E60</f>
        <v>-3.5098806882238424E-3</v>
      </c>
      <c r="P59" s="171">
        <f>G58*Renditen!F60</f>
        <v>-8.6427421289999116E-3</v>
      </c>
      <c r="Q59" s="171">
        <f>H58*Renditen!G60</f>
        <v>6.7869743819685881E-4</v>
      </c>
      <c r="R59" s="171">
        <f>I58*Renditen!H60</f>
        <v>5.6114519369393151E-3</v>
      </c>
      <c r="S59" s="171">
        <f>J58*Renditen!I60</f>
        <v>5.6307657357307884E-5</v>
      </c>
      <c r="T59" s="171">
        <f>K58*Renditen!J60</f>
        <v>-8.1502226052458692E-4</v>
      </c>
      <c r="U59" s="171">
        <f t="shared" si="0"/>
        <v>-1.0638113215091156E-2</v>
      </c>
      <c r="W59" s="174">
        <f>Renditen!M60*Strategie!$B$4</f>
        <v>2.8231456000000002E-5</v>
      </c>
      <c r="X59" s="175">
        <f>Strategie!$B$5*Renditen!N60</f>
        <v>-4.5208686000000001E-4</v>
      </c>
      <c r="Y59" s="176">
        <f>Strategie!$B$6*Renditen!O60</f>
        <v>-2.2740408399999999E-3</v>
      </c>
      <c r="Z59" s="174">
        <f>Strategie!$B$7*Renditen!P60</f>
        <v>-2.4230397839999996E-3</v>
      </c>
      <c r="AA59" s="174">
        <f>Strategie!$B$8*Renditen!Q60</f>
        <v>-6.6600657440000002E-3</v>
      </c>
      <c r="AB59" s="174">
        <f>Strategie!$B$9*Renditen!R60</f>
        <v>1.036173888E-3</v>
      </c>
      <c r="AC59" s="174">
        <f>Strategie!$B$10*Renditen!S60</f>
        <v>2.0810953600000001E-3</v>
      </c>
      <c r="AD59" s="174">
        <f>Strategie!$B$11*Renditen!T60</f>
        <v>4.89328E-5</v>
      </c>
      <c r="AE59" s="174">
        <f>Strategie!$B$12*Renditen!U60</f>
        <v>-2.3229058239999999E-3</v>
      </c>
      <c r="AF59" s="174">
        <f t="shared" si="1"/>
        <v>-1.0937705548E-2</v>
      </c>
    </row>
    <row r="60" spans="1:32" x14ac:dyDescent="0.25">
      <c r="A60" s="179">
        <f>Vermögen!A62</f>
        <v>45230</v>
      </c>
      <c r="B60" s="169">
        <f>SUM(Vermögen!B62:J62)</f>
        <v>1139410653.0173748</v>
      </c>
      <c r="C60" s="166">
        <f>Vermögen!B62/Gesamtvermögen!$B60</f>
        <v>1.2056524413106088E-2</v>
      </c>
      <c r="D60" s="166">
        <f>Vermögen!C62/Gesamtvermögen!$B60</f>
        <v>0.15672903419042217</v>
      </c>
      <c r="E60" s="166">
        <f>Vermögen!D62/Gesamtvermögen!$B60</f>
        <v>7.6315156143950805E-2</v>
      </c>
      <c r="F60" s="166">
        <f>Vermögen!E62/Gesamtvermögen!$B60</f>
        <v>0.16641457704003521</v>
      </c>
      <c r="G60" s="166">
        <f>Vermögen!F62/Gesamtvermögen!$B60</f>
        <v>0.20158479198484119</v>
      </c>
      <c r="H60" s="166">
        <f>Vermögen!G62/Gesamtvermögen!$B60</f>
        <v>9.6394632243347531E-2</v>
      </c>
      <c r="I60" s="166">
        <f>Vermögen!H62/Gesamtvermögen!$B60</f>
        <v>0.11174965152240786</v>
      </c>
      <c r="J60" s="166">
        <f>Vermögen!I62/Gesamtvermögen!$B60</f>
        <v>0.14532580191121611</v>
      </c>
      <c r="K60" s="166">
        <f>Vermögen!J62/Gesamtvermögen!$B60</f>
        <v>3.3429830550673049E-2</v>
      </c>
      <c r="L60" s="171">
        <f>C59*Renditen!B61</f>
        <v>-1.2517796309984162E-5</v>
      </c>
      <c r="M60" s="171">
        <f>D59*Renditen!C61</f>
        <v>7.9443295408417351E-4</v>
      </c>
      <c r="N60" s="171">
        <f>E59*Renditen!D61</f>
        <v>-1.0607111219174765E-3</v>
      </c>
      <c r="O60" s="171">
        <f>F59*Renditen!E61</f>
        <v>-9.016843466593755E-3</v>
      </c>
      <c r="P60" s="171">
        <f>G59*Renditen!F61</f>
        <v>-5.7735845301924178E-3</v>
      </c>
      <c r="Q60" s="171">
        <f>H59*Renditen!G61</f>
        <v>-4.233599357751635E-3</v>
      </c>
      <c r="R60" s="171">
        <f>I59*Renditen!H61</f>
        <v>-5.8928439145136137E-4</v>
      </c>
      <c r="S60" s="171">
        <f>J59*Renditen!I61</f>
        <v>5.6935870658313725E-5</v>
      </c>
      <c r="T60" s="171">
        <f>K59*Renditen!J61</f>
        <v>-3.2084557966940752E-4</v>
      </c>
      <c r="U60" s="171">
        <f t="shared" si="0"/>
        <v>-2.0156017419143548E-2</v>
      </c>
      <c r="W60" s="174">
        <f>Renditen!M61*Strategie!$B$4</f>
        <v>2.9020308000000003E-5</v>
      </c>
      <c r="X60" s="175">
        <f>Strategie!$B$5*Renditen!N61</f>
        <v>1.4240634400000001E-3</v>
      </c>
      <c r="Y60" s="176">
        <f>Strategie!$B$6*Renditen!O61</f>
        <v>-9.137300200000001E-4</v>
      </c>
      <c r="Z60" s="174">
        <f>Strategie!$B$7*Renditen!P61</f>
        <v>-6.2835305519999994E-3</v>
      </c>
      <c r="AA60" s="174">
        <f>Strategie!$B$8*Renditen!Q61</f>
        <v>-4.4962393600000003E-3</v>
      </c>
      <c r="AB60" s="174">
        <f>Strategie!$B$9*Renditen!R61</f>
        <v>-5.2613575919999997E-3</v>
      </c>
      <c r="AC60" s="174">
        <f>Strategie!$B$10*Renditen!S61</f>
        <v>-6.446004184000001E-3</v>
      </c>
      <c r="AD60" s="174">
        <f>Strategie!$B$11*Renditen!T61</f>
        <v>3.2054011200000006E-4</v>
      </c>
      <c r="AE60" s="174">
        <f>Strategie!$B$12*Renditen!U61</f>
        <v>-1.8286511959999998E-3</v>
      </c>
      <c r="AF60" s="174">
        <f t="shared" si="1"/>
        <v>-2.3455889043999999E-2</v>
      </c>
    </row>
    <row r="61" spans="1:32" x14ac:dyDescent="0.25">
      <c r="A61" s="179">
        <f>Vermögen!A63</f>
        <v>45260</v>
      </c>
      <c r="B61" s="169">
        <f>SUM(Vermögen!B63:J63)</f>
        <v>1176406280.8197134</v>
      </c>
      <c r="C61" s="166">
        <f>Vermögen!B63/Gesamtvermögen!$B61</f>
        <v>1.1668749800568822E-2</v>
      </c>
      <c r="D61" s="166">
        <f>Vermögen!C63/Gesamtvermögen!$B61</f>
        <v>0.15480586345087347</v>
      </c>
      <c r="E61" s="166">
        <f>Vermögen!D63/Gesamtvermögen!$B61</f>
        <v>7.7999558352719045E-2</v>
      </c>
      <c r="F61" s="166">
        <f>Vermögen!E63/Gesamtvermögen!$B61</f>
        <v>0.16851491426496557</v>
      </c>
      <c r="G61" s="166">
        <f>Vermögen!F63/Gesamtvermögen!$B61</f>
        <v>0.21049401498109999</v>
      </c>
      <c r="H61" s="166">
        <f>Vermögen!G63/Gesamtvermögen!$B61</f>
        <v>9.6089419432929229E-2</v>
      </c>
      <c r="I61" s="166">
        <f>Vermögen!H63/Gesamtvermögen!$B61</f>
        <v>0.10341908204264574</v>
      </c>
      <c r="J61" s="166">
        <f>Vermögen!I63/Gesamtvermögen!$B61</f>
        <v>0.14287819009517755</v>
      </c>
      <c r="K61" s="166">
        <f>Vermögen!J63/Gesamtvermögen!$B61</f>
        <v>3.4130207579020674E-2</v>
      </c>
      <c r="L61" s="171">
        <f>C60*Renditen!B62</f>
        <v>-8.9009172657205439E-6</v>
      </c>
      <c r="M61" s="171">
        <f>D60*Renditen!C62</f>
        <v>3.103234876970359E-3</v>
      </c>
      <c r="N61" s="171">
        <f>E60*Renditen!D62</f>
        <v>4.2169769410846753E-3</v>
      </c>
      <c r="O61" s="171">
        <f>F60*Renditen!E62</f>
        <v>7.5718632553216014E-3</v>
      </c>
      <c r="P61" s="171">
        <f>G60*Renditen!F62</f>
        <v>1.5743772254016099E-2</v>
      </c>
      <c r="Q61" s="171">
        <f>H60*Renditen!G62</f>
        <v>2.8147232615057479E-3</v>
      </c>
      <c r="R61" s="171">
        <f>I60*Renditen!H62</f>
        <v>-4.9726459279881259E-3</v>
      </c>
      <c r="S61" s="171">
        <f>J60*Renditen!I62</f>
        <v>2.1915130928211388E-3</v>
      </c>
      <c r="T61" s="171">
        <f>K60*Renditen!J62</f>
        <v>1.8085538327914121E-3</v>
      </c>
      <c r="U61" s="171">
        <f t="shared" si="0"/>
        <v>3.246909066925719E-2</v>
      </c>
      <c r="W61" s="174">
        <f>Renditen!M62*Strategie!$B$4</f>
        <v>2.7235340000000003E-5</v>
      </c>
      <c r="X61" s="175">
        <f>Strategie!$B$5*Renditen!N62</f>
        <v>1.79963044E-3</v>
      </c>
      <c r="Y61" s="176">
        <f>Strategie!$B$6*Renditen!O62</f>
        <v>2.7379633800000002E-3</v>
      </c>
      <c r="Z61" s="174">
        <f>Strategie!$B$7*Renditen!P62</f>
        <v>5.46512508E-3</v>
      </c>
      <c r="AA61" s="174">
        <f>Strategie!$B$8*Renditen!Q62</f>
        <v>1.2484054768E-2</v>
      </c>
      <c r="AB61" s="174">
        <f>Strategie!$B$9*Renditen!R62</f>
        <v>3.8357794559999996E-3</v>
      </c>
      <c r="AC61" s="174">
        <f>Strategie!$B$10*Renditen!S62</f>
        <v>1.0052152152000001E-2</v>
      </c>
      <c r="AD61" s="174">
        <f>Strategie!$B$11*Renditen!T62</f>
        <v>3.0517214400000001E-4</v>
      </c>
      <c r="AE61" s="174">
        <f>Strategie!$B$12*Renditen!U62</f>
        <v>3.5423904439999998E-3</v>
      </c>
      <c r="AF61" s="174">
        <f t="shared" si="1"/>
        <v>4.0249503203999996E-2</v>
      </c>
    </row>
    <row r="62" spans="1:32" x14ac:dyDescent="0.25">
      <c r="A62" s="179">
        <f>Vermögen!A64</f>
        <v>45291</v>
      </c>
      <c r="B62" s="169">
        <f>SUM(Vermögen!B64:J64)</f>
        <v>1193698757.0594459</v>
      </c>
      <c r="C62" s="166">
        <f>Vermögen!B64/Gesamtvermögen!$B62</f>
        <v>1.1462507746735569E-2</v>
      </c>
      <c r="D62" s="166">
        <f>Vermögen!C64/Gesamtvermögen!$B62</f>
        <v>0.15468390310481206</v>
      </c>
      <c r="E62" s="166">
        <f>Vermögen!D64/Gesamtvermögen!$B62</f>
        <v>8.0207982601304642E-2</v>
      </c>
      <c r="F62" s="166">
        <f>Vermögen!E64/Gesamtvermögen!$B62</f>
        <v>0.16997646134475658</v>
      </c>
      <c r="G62" s="166">
        <f>Vermögen!F64/Gesamtvermögen!$B62</f>
        <v>0.21532759925230957</v>
      </c>
      <c r="H62" s="166">
        <f>Vermögen!G64/Gesamtvermögen!$B62</f>
        <v>9.5114092005664175E-2</v>
      </c>
      <c r="I62" s="166">
        <f>Vermögen!H64/Gesamtvermögen!$B62</f>
        <v>9.7773452068413272E-2</v>
      </c>
      <c r="J62" s="166">
        <f>Vermögen!I64/Gesamtvermögen!$B62</f>
        <v>0.14180812964795003</v>
      </c>
      <c r="K62" s="166">
        <f>Vermögen!J64/Gesamtvermögen!$B62</f>
        <v>3.3645872228054007E-2</v>
      </c>
      <c r="L62" s="171">
        <f>C61*Renditen!B63</f>
        <v>-3.7749972407046683E-5</v>
      </c>
      <c r="M62" s="171">
        <f>D61*Renditen!C63</f>
        <v>2.1518015019671411E-3</v>
      </c>
      <c r="N62" s="171">
        <f>E61*Renditen!D63</f>
        <v>3.3874341331668659E-3</v>
      </c>
      <c r="O62" s="171">
        <f>F61*Renditen!E63</f>
        <v>3.9601004852266907E-3</v>
      </c>
      <c r="P62" s="171">
        <f>G61*Renditen!F63</f>
        <v>7.9987725692818E-3</v>
      </c>
      <c r="Q62" s="171">
        <f>H61*Renditen!G63</f>
        <v>4.2279344550488865E-4</v>
      </c>
      <c r="R62" s="171">
        <f>I61*Renditen!H63</f>
        <v>-4.2084180821031821E-3</v>
      </c>
      <c r="S62" s="171">
        <f>J61*Renditen!I63</f>
        <v>1.0144351496757607E-3</v>
      </c>
      <c r="T62" s="171">
        <f>K61*Renditen!J63</f>
        <v>1.0239062273706201E-5</v>
      </c>
      <c r="U62" s="171">
        <f t="shared" si="0"/>
        <v>1.4699408292586622E-2</v>
      </c>
      <c r="W62" s="174">
        <f>Renditen!M63*Strategie!$B$4</f>
        <v>2.7286208000000002E-5</v>
      </c>
      <c r="X62" s="175">
        <f>Strategie!$B$5*Renditen!N63</f>
        <v>1.49693446E-3</v>
      </c>
      <c r="Y62" s="176">
        <f>Strategie!$B$6*Renditen!O63</f>
        <v>2.7161273100000001E-3</v>
      </c>
      <c r="Z62" s="174">
        <f>Strategie!$B$7*Renditen!P63</f>
        <v>2.8227459959999997E-3</v>
      </c>
      <c r="AA62" s="174">
        <f>Strategie!$B$8*Renditen!Q63</f>
        <v>6.0269001760000001E-3</v>
      </c>
      <c r="AB62" s="174">
        <f>Strategie!$B$9*Renditen!R63</f>
        <v>6.9042949199999988E-4</v>
      </c>
      <c r="AC62" s="174">
        <f>Strategie!$B$10*Renditen!S63</f>
        <v>4.3842531199999998E-3</v>
      </c>
      <c r="AD62" s="174">
        <f>Strategie!$B$11*Renditen!T63</f>
        <v>-3.2320015999999999E-5</v>
      </c>
      <c r="AE62" s="174">
        <f>Strategie!$B$12*Renditen!U63</f>
        <v>3.256438968E-3</v>
      </c>
      <c r="AF62" s="174">
        <f t="shared" si="1"/>
        <v>2.1388795714E-2</v>
      </c>
    </row>
    <row r="63" spans="1:32" x14ac:dyDescent="0.25">
      <c r="A63" s="179">
        <f>Vermögen!A65</f>
        <v>45322</v>
      </c>
      <c r="B63" s="169">
        <f>SUM(Vermögen!B65:J65)</f>
        <v>1187659437.1210301</v>
      </c>
      <c r="C63" s="166">
        <f>Vermögen!B65/Gesamtvermögen!$B63</f>
        <v>1.1583755895538292E-2</v>
      </c>
      <c r="D63" s="166">
        <f>Vermögen!C65/Gesamtvermögen!$B63</f>
        <v>0.14996544199169543</v>
      </c>
      <c r="E63" s="166">
        <f>Vermögen!D65/Gesamtvermögen!$B63</f>
        <v>7.8559989247696388E-2</v>
      </c>
      <c r="F63" s="166">
        <f>Vermögen!E65/Gesamtvermögen!$B63</f>
        <v>0.17503660298364412</v>
      </c>
      <c r="G63" s="166">
        <f>Vermögen!F65/Gesamtvermögen!$B63</f>
        <v>0.21196808941157744</v>
      </c>
      <c r="H63" s="166">
        <f>Vermögen!G65/Gesamtvermögen!$B63</f>
        <v>0.10048390917343591</v>
      </c>
      <c r="I63" s="166">
        <f>Vermögen!H65/Gesamtvermögen!$B63</f>
        <v>0.10033528659821195</v>
      </c>
      <c r="J63" s="166">
        <f>Vermögen!I65/Gesamtvermögen!$B63</f>
        <v>0.1389076238262498</v>
      </c>
      <c r="K63" s="166">
        <f>Vermögen!J65/Gesamtvermögen!$B63</f>
        <v>3.3159300871950778E-2</v>
      </c>
      <c r="L63" s="171">
        <f>C62*Renditen!B64</f>
        <v>6.4716704045122686E-6</v>
      </c>
      <c r="M63" s="171">
        <f>D62*Renditen!C64</f>
        <v>1.8562068372577446E-4</v>
      </c>
      <c r="N63" s="171">
        <f>E62*Renditen!D64</f>
        <v>1.3014724734800025E-3</v>
      </c>
      <c r="O63" s="171">
        <f>F62*Renditen!E64</f>
        <v>7.4789642991692894E-4</v>
      </c>
      <c r="P63" s="171">
        <f>G62*Renditen!F64</f>
        <v>5.641583100410511E-3</v>
      </c>
      <c r="Q63" s="171">
        <f>H62*Renditen!G64</f>
        <v>2.8248885325682259E-3</v>
      </c>
      <c r="R63" s="171">
        <f>I62*Renditen!H64</f>
        <v>-3.1429614854629408E-3</v>
      </c>
      <c r="S63" s="171">
        <f>J62*Renditen!I64</f>
        <v>4.1124357597905508E-4</v>
      </c>
      <c r="T63" s="171">
        <f>K62*Renditen!J64</f>
        <v>-1.0497512135152849E-4</v>
      </c>
      <c r="U63" s="171">
        <f t="shared" si="0"/>
        <v>7.8712398596705434E-3</v>
      </c>
      <c r="W63" s="174">
        <f>Renditen!M64*Strategie!$B$4</f>
        <v>2.5970670000000003E-5</v>
      </c>
      <c r="X63" s="175">
        <f>Strategie!$B$5*Renditen!N64</f>
        <v>6.3476562000000004E-4</v>
      </c>
      <c r="Y63" s="176">
        <f>Strategie!$B$6*Renditen!O64</f>
        <v>-6.0847812999999999E-4</v>
      </c>
      <c r="Z63" s="174">
        <f>Strategie!$B$7*Renditen!P64</f>
        <v>5.2725886799999996E-4</v>
      </c>
      <c r="AA63" s="174">
        <f>Strategie!$B$8*Renditen!Q64</f>
        <v>4.1445169440000006E-3</v>
      </c>
      <c r="AB63" s="174">
        <f>Strategie!$B$9*Renditen!R64</f>
        <v>3.5092510439999999E-3</v>
      </c>
      <c r="AC63" s="174">
        <f>Strategie!$B$10*Renditen!S64</f>
        <v>2.6836518480000001E-3</v>
      </c>
      <c r="AD63" s="174">
        <f>Strategie!$B$11*Renditen!T64</f>
        <v>8.7307328E-5</v>
      </c>
      <c r="AE63" s="174">
        <f>Strategie!$B$12*Renditen!U64</f>
        <v>1.1749876680000001E-3</v>
      </c>
      <c r="AF63" s="174">
        <f t="shared" si="1"/>
        <v>1.217923186E-2</v>
      </c>
    </row>
    <row r="64" spans="1:32" x14ac:dyDescent="0.25">
      <c r="A64" s="179">
        <f>Vermögen!A66</f>
        <v>45351</v>
      </c>
      <c r="B64" s="169">
        <f>SUM(Vermögen!B66:J66)</f>
        <v>1175352592.8549299</v>
      </c>
      <c r="C64" s="166">
        <f>Vermögen!B66/Gesamtvermögen!$B64</f>
        <v>1.1710528458936312E-2</v>
      </c>
      <c r="D64" s="166">
        <f>Vermögen!C66/Gesamtvermögen!$B64</f>
        <v>0.15256613806447425</v>
      </c>
      <c r="E64" s="166">
        <f>Vermögen!D66/Gesamtvermögen!$B64</f>
        <v>7.7621695050837755E-2</v>
      </c>
      <c r="F64" s="166">
        <f>Vermögen!E66/Gesamtvermögen!$B64</f>
        <v>0.17375646971405162</v>
      </c>
      <c r="G64" s="166">
        <f>Vermögen!F66/Gesamtvermögen!$B64</f>
        <v>0.20977529439320172</v>
      </c>
      <c r="H64" s="166">
        <f>Vermögen!G66/Gesamtvermögen!$B64</f>
        <v>9.6956776885265536E-2</v>
      </c>
      <c r="I64" s="166">
        <f>Vermögen!H66/Gesamtvermögen!$B64</f>
        <v>0.10330394331878671</v>
      </c>
      <c r="J64" s="166">
        <f>Vermögen!I66/Gesamtvermögen!$B64</f>
        <v>0.14076914339326971</v>
      </c>
      <c r="K64" s="166">
        <f>Vermögen!J66/Gesamtvermögen!$B64</f>
        <v>3.3540010721176419E-2</v>
      </c>
      <c r="L64" s="171">
        <f>C63*Renditen!B65</f>
        <v>5.4249400698889915E-6</v>
      </c>
      <c r="M64" s="171">
        <f>D63*Renditen!C65</f>
        <v>1.0197650055435289E-3</v>
      </c>
      <c r="N64" s="171">
        <f>E63*Renditen!D65</f>
        <v>-1.7426309307770958E-3</v>
      </c>
      <c r="O64" s="171">
        <f>F63*Renditen!E65</f>
        <v>-3.0806442125121368E-3</v>
      </c>
      <c r="P64" s="171">
        <f>G63*Renditen!F65</f>
        <v>-4.366542641878495E-3</v>
      </c>
      <c r="Q64" s="171">
        <f>H63*Renditen!G65</f>
        <v>-4.5318243037219602E-3</v>
      </c>
      <c r="R64" s="171">
        <f>I63*Renditen!H65</f>
        <v>1.8981936713523488E-3</v>
      </c>
      <c r="S64" s="171">
        <f>J63*Renditen!I65</f>
        <v>4.0283210909612438E-4</v>
      </c>
      <c r="T64" s="171">
        <f>K63*Renditen!J65</f>
        <v>3.3159300871950779E-5</v>
      </c>
      <c r="U64" s="171">
        <f t="shared" si="0"/>
        <v>-1.0362267061955846E-2</v>
      </c>
      <c r="W64" s="174">
        <f>Renditen!M65*Strategie!$B$4</f>
        <v>2.7864142000000001E-5</v>
      </c>
      <c r="X64" s="175">
        <f>Strategie!$B$5*Renditen!N65</f>
        <v>9.7347286000000011E-4</v>
      </c>
      <c r="Y64" s="176">
        <f>Strategie!$B$6*Renditen!O65</f>
        <v>-5.0030723999999998E-4</v>
      </c>
      <c r="Z64" s="174">
        <f>Strategie!$B$7*Renditen!P65</f>
        <v>-2.109054216E-3</v>
      </c>
      <c r="AA64" s="174">
        <f>Strategie!$B$8*Renditen!Q65</f>
        <v>-3.3138114239999999E-3</v>
      </c>
      <c r="AB64" s="174">
        <f>Strategie!$B$9*Renditen!R65</f>
        <v>-5.2616225999999999E-3</v>
      </c>
      <c r="AC64" s="174">
        <f>Strategie!$B$10*Renditen!S65</f>
        <v>3.1347753600000002E-4</v>
      </c>
      <c r="AD64" s="174">
        <f>Strategie!$B$11*Renditen!T65</f>
        <v>4.2008283200000004E-4</v>
      </c>
      <c r="AE64" s="174">
        <f>Strategie!$B$12*Renditen!U65</f>
        <v>-1.1286801880000001E-3</v>
      </c>
      <c r="AF64" s="174">
        <f t="shared" si="1"/>
        <v>-1.0578578297999998E-2</v>
      </c>
    </row>
    <row r="65" spans="1:33" x14ac:dyDescent="0.25">
      <c r="A65" s="179">
        <f>Vermögen!A67</f>
        <v>45382</v>
      </c>
      <c r="B65" s="169">
        <f>SUM(Vermögen!B67:J67)</f>
        <v>1162849058.9044883</v>
      </c>
      <c r="C65" s="166">
        <f>Vermögen!B67/Gesamtvermögen!$B65</f>
        <v>1.1826030693331177E-2</v>
      </c>
      <c r="D65" s="166">
        <f>Vermögen!C67/Gesamtvermögen!$B65</f>
        <v>0.1527755680931103</v>
      </c>
      <c r="E65" s="166">
        <f>Vermögen!D67/Gesamtvermögen!$B65</f>
        <v>7.5837657649286142E-2</v>
      </c>
      <c r="F65" s="166">
        <f>Vermögen!E67/Gesamtvermögen!$B65</f>
        <v>0.1720771653930106</v>
      </c>
      <c r="G65" s="166">
        <f>Vermögen!F67/Gesamtvermögen!$B65</f>
        <v>0.20329522993635271</v>
      </c>
      <c r="H65" s="166">
        <f>Vermögen!G67/Gesamtvermögen!$B65</f>
        <v>9.8685299714490332E-2</v>
      </c>
      <c r="I65" s="166">
        <f>Vermögen!H67/Gesamtvermögen!$B65</f>
        <v>0.11008650799119034</v>
      </c>
      <c r="J65" s="166">
        <f>Vermögen!I67/Gesamtvermögen!$B65</f>
        <v>0.14233967664578431</v>
      </c>
      <c r="K65" s="166">
        <f>Vermögen!J67/Gesamtvermögen!$B65</f>
        <v>3.3076863883444073E-2</v>
      </c>
      <c r="L65" s="171">
        <f>C64*Renditen!B66</f>
        <v>-1.0304419005934116E-5</v>
      </c>
      <c r="M65" s="171">
        <f>D64*Renditen!C66</f>
        <v>-1.415813761238321E-3</v>
      </c>
      <c r="N65" s="171">
        <f>E64*Renditen!D66</f>
        <v>-2.5908069895920417E-3</v>
      </c>
      <c r="O65" s="171">
        <f>F64*Renditen!E66</f>
        <v>-3.5098806882238424E-3</v>
      </c>
      <c r="P65" s="171">
        <f>G64*Renditen!F66</f>
        <v>-8.6427421289999116E-3</v>
      </c>
      <c r="Q65" s="171">
        <f>H64*Renditen!G66</f>
        <v>6.7869743819685881E-4</v>
      </c>
      <c r="R65" s="171">
        <f>I64*Renditen!H66</f>
        <v>5.6114519369393151E-3</v>
      </c>
      <c r="S65" s="171">
        <f>J64*Renditen!I66</f>
        <v>5.6307657357307884E-5</v>
      </c>
      <c r="T65" s="171">
        <f>K64*Renditen!J66</f>
        <v>-8.1502226052458692E-4</v>
      </c>
      <c r="U65" s="171">
        <f t="shared" si="0"/>
        <v>-1.0638113215091156E-2</v>
      </c>
      <c r="W65" s="174">
        <f>Renditen!M66*Strategie!$B$4</f>
        <v>2.8231456000000002E-5</v>
      </c>
      <c r="X65" s="175">
        <f>Strategie!$B$5*Renditen!N66</f>
        <v>-4.5208686000000001E-4</v>
      </c>
      <c r="Y65" s="176">
        <f>Strategie!$B$6*Renditen!O66</f>
        <v>-2.2740408399999999E-3</v>
      </c>
      <c r="Z65" s="174">
        <f>Strategie!$B$7*Renditen!P66</f>
        <v>-2.4230397839999996E-3</v>
      </c>
      <c r="AA65" s="174">
        <f>Strategie!$B$8*Renditen!Q66</f>
        <v>-6.6600657440000002E-3</v>
      </c>
      <c r="AB65" s="174">
        <f>Strategie!$B$9*Renditen!R66</f>
        <v>1.036173888E-3</v>
      </c>
      <c r="AC65" s="174">
        <f>Strategie!$B$10*Renditen!S66</f>
        <v>2.0810953600000001E-3</v>
      </c>
      <c r="AD65" s="174">
        <f>Strategie!$B$11*Renditen!T66</f>
        <v>4.89328E-5</v>
      </c>
      <c r="AE65" s="174">
        <f>Strategie!$B$12*Renditen!U66</f>
        <v>-2.3229058239999999E-3</v>
      </c>
      <c r="AF65" s="174">
        <f t="shared" si="1"/>
        <v>-1.0937705548E-2</v>
      </c>
    </row>
    <row r="66" spans="1:33" x14ac:dyDescent="0.25">
      <c r="A66" s="179">
        <f>Vermögen!A68</f>
        <v>45412</v>
      </c>
      <c r="B66" s="169">
        <f>SUM(Vermögen!B68:J68)</f>
        <v>1139410653.0173748</v>
      </c>
      <c r="C66" s="166">
        <f>Vermögen!B68/Gesamtvermögen!$B66</f>
        <v>1.2056524413106088E-2</v>
      </c>
      <c r="D66" s="166">
        <f>Vermögen!C68/Gesamtvermögen!$B66</f>
        <v>0.15672903419042217</v>
      </c>
      <c r="E66" s="166">
        <f>Vermögen!D68/Gesamtvermögen!$B66</f>
        <v>7.6315156143950805E-2</v>
      </c>
      <c r="F66" s="166">
        <f>Vermögen!E68/Gesamtvermögen!$B66</f>
        <v>0.16641457704003521</v>
      </c>
      <c r="G66" s="166">
        <f>Vermögen!F68/Gesamtvermögen!$B66</f>
        <v>0.20158479198484119</v>
      </c>
      <c r="H66" s="166">
        <f>Vermögen!G68/Gesamtvermögen!$B66</f>
        <v>9.6394632243347531E-2</v>
      </c>
      <c r="I66" s="166">
        <f>Vermögen!H68/Gesamtvermögen!$B66</f>
        <v>0.11174965152240786</v>
      </c>
      <c r="J66" s="166">
        <f>Vermögen!I68/Gesamtvermögen!$B66</f>
        <v>0.14532580191121611</v>
      </c>
      <c r="K66" s="166">
        <f>Vermögen!J68/Gesamtvermögen!$B66</f>
        <v>3.3429830550673049E-2</v>
      </c>
      <c r="L66" s="171">
        <f>C65*Renditen!B67</f>
        <v>-1.2517796309984162E-5</v>
      </c>
      <c r="M66" s="171">
        <f>D65*Renditen!C67</f>
        <v>7.9443295408417351E-4</v>
      </c>
      <c r="N66" s="171">
        <f>E65*Renditen!D67</f>
        <v>-1.0607111219174765E-3</v>
      </c>
      <c r="O66" s="171">
        <f>F65*Renditen!E67</f>
        <v>-9.016843466593755E-3</v>
      </c>
      <c r="P66" s="171">
        <f>G65*Renditen!F67</f>
        <v>-5.7735845301924178E-3</v>
      </c>
      <c r="Q66" s="171">
        <f>H65*Renditen!G67</f>
        <v>-4.233599357751635E-3</v>
      </c>
      <c r="R66" s="171">
        <f>I65*Renditen!H67</f>
        <v>-5.8928439145136137E-4</v>
      </c>
      <c r="S66" s="171">
        <f>J65*Renditen!I67</f>
        <v>5.6935870658313725E-5</v>
      </c>
      <c r="T66" s="171">
        <f>K65*Renditen!J67</f>
        <v>-3.2084557966940752E-4</v>
      </c>
      <c r="U66" s="171">
        <f t="shared" si="0"/>
        <v>-2.0156017419143548E-2</v>
      </c>
      <c r="W66" s="174">
        <f>Renditen!M67*Strategie!$B$4</f>
        <v>2.9020308000000003E-5</v>
      </c>
      <c r="X66" s="175">
        <f>Strategie!$B$5*Renditen!N67</f>
        <v>1.4240634400000001E-3</v>
      </c>
      <c r="Y66" s="176">
        <f>Strategie!$B$6*Renditen!O67</f>
        <v>-9.137300200000001E-4</v>
      </c>
      <c r="Z66" s="174">
        <f>Strategie!$B$7*Renditen!P67</f>
        <v>-6.2835305519999994E-3</v>
      </c>
      <c r="AA66" s="174">
        <f>Strategie!$B$8*Renditen!Q67</f>
        <v>-4.4962393600000003E-3</v>
      </c>
      <c r="AB66" s="174">
        <f>Strategie!$B$9*Renditen!R67</f>
        <v>-5.2613575919999997E-3</v>
      </c>
      <c r="AC66" s="174">
        <f>Strategie!$B$10*Renditen!S67</f>
        <v>-6.446004184000001E-3</v>
      </c>
      <c r="AD66" s="174">
        <f>Strategie!$B$11*Renditen!T67</f>
        <v>3.2054011200000006E-4</v>
      </c>
      <c r="AE66" s="174">
        <f>Strategie!$B$12*Renditen!U67</f>
        <v>-1.8286511959999998E-3</v>
      </c>
      <c r="AF66" s="174">
        <f t="shared" si="1"/>
        <v>-2.3455889043999999E-2</v>
      </c>
    </row>
    <row r="67" spans="1:33" x14ac:dyDescent="0.25">
      <c r="A67" s="179">
        <f>Vermögen!A69</f>
        <v>45443</v>
      </c>
      <c r="B67" s="169">
        <f>SUM(Vermögen!B69:J69)</f>
        <v>1176406280.8197134</v>
      </c>
      <c r="C67" s="166">
        <f>Vermögen!B69/Gesamtvermögen!$B67</f>
        <v>1.1668749800568822E-2</v>
      </c>
      <c r="D67" s="166">
        <f>Vermögen!C69/Gesamtvermögen!$B67</f>
        <v>0.15480586345087347</v>
      </c>
      <c r="E67" s="166">
        <f>Vermögen!D69/Gesamtvermögen!$B67</f>
        <v>7.7999558352719045E-2</v>
      </c>
      <c r="F67" s="166">
        <f>Vermögen!E69/Gesamtvermögen!$B67</f>
        <v>0.16851491426496557</v>
      </c>
      <c r="G67" s="166">
        <f>Vermögen!F69/Gesamtvermögen!$B67</f>
        <v>0.21049401498109999</v>
      </c>
      <c r="H67" s="166">
        <f>Vermögen!G69/Gesamtvermögen!$B67</f>
        <v>9.6089419432929229E-2</v>
      </c>
      <c r="I67" s="166">
        <f>Vermögen!H69/Gesamtvermögen!$B67</f>
        <v>0.10341908204264574</v>
      </c>
      <c r="J67" s="166">
        <f>Vermögen!I69/Gesamtvermögen!$B67</f>
        <v>0.14287819009517755</v>
      </c>
      <c r="K67" s="166">
        <f>Vermögen!J69/Gesamtvermögen!$B67</f>
        <v>3.4130207579020674E-2</v>
      </c>
      <c r="L67" s="171">
        <f>C66*Renditen!B68</f>
        <v>-8.9009172657205439E-6</v>
      </c>
      <c r="M67" s="171">
        <f>D66*Renditen!C68</f>
        <v>3.103234876970359E-3</v>
      </c>
      <c r="N67" s="171">
        <f>E66*Renditen!D68</f>
        <v>4.2169769410846753E-3</v>
      </c>
      <c r="O67" s="171">
        <f>F66*Renditen!E68</f>
        <v>7.5718632553216014E-3</v>
      </c>
      <c r="P67" s="171">
        <f>G66*Renditen!F68</f>
        <v>1.5743772254016099E-2</v>
      </c>
      <c r="Q67" s="171">
        <f>H66*Renditen!G68</f>
        <v>2.8147232615057479E-3</v>
      </c>
      <c r="R67" s="171">
        <f>I66*Renditen!H68</f>
        <v>-4.9726459279881259E-3</v>
      </c>
      <c r="S67" s="171">
        <f>J66*Renditen!I68</f>
        <v>2.1915130928211388E-3</v>
      </c>
      <c r="T67" s="171">
        <f>K66*Renditen!J68</f>
        <v>1.8085538327914121E-3</v>
      </c>
      <c r="U67" s="171">
        <f t="shared" si="0"/>
        <v>3.246909066925719E-2</v>
      </c>
      <c r="W67" s="174">
        <f>Renditen!M68*Strategie!$B$4</f>
        <v>2.7235340000000003E-5</v>
      </c>
      <c r="X67" s="175">
        <f>Strategie!$B$5*Renditen!N68</f>
        <v>1.79963044E-3</v>
      </c>
      <c r="Y67" s="176">
        <f>Strategie!$B$6*Renditen!O68</f>
        <v>2.7379633800000002E-3</v>
      </c>
      <c r="Z67" s="174">
        <f>Strategie!$B$7*Renditen!P68</f>
        <v>5.46512508E-3</v>
      </c>
      <c r="AA67" s="174">
        <f>Strategie!$B$8*Renditen!Q68</f>
        <v>1.2484054768E-2</v>
      </c>
      <c r="AB67" s="174">
        <f>Strategie!$B$9*Renditen!R68</f>
        <v>3.8357794559999996E-3</v>
      </c>
      <c r="AC67" s="174">
        <f>Strategie!$B$10*Renditen!S68</f>
        <v>1.0052152152000001E-2</v>
      </c>
      <c r="AD67" s="174">
        <f>Strategie!$B$11*Renditen!T68</f>
        <v>3.0517214400000001E-4</v>
      </c>
      <c r="AE67" s="174">
        <f>Strategie!$B$12*Renditen!U68</f>
        <v>3.5423904439999998E-3</v>
      </c>
      <c r="AF67" s="174">
        <f t="shared" si="1"/>
        <v>4.0249503203999996E-2</v>
      </c>
    </row>
    <row r="68" spans="1:33" x14ac:dyDescent="0.25">
      <c r="A68" s="179">
        <f>Vermögen!A70</f>
        <v>45473</v>
      </c>
      <c r="B68" s="169">
        <f>SUM(Vermögen!B70:J70)</f>
        <v>1193698757.0594459</v>
      </c>
      <c r="C68" s="166">
        <f>Vermögen!B70/Gesamtvermögen!$B68</f>
        <v>1.1462507746735569E-2</v>
      </c>
      <c r="D68" s="166">
        <f>Vermögen!C70/Gesamtvermögen!$B68</f>
        <v>0.15468390310481206</v>
      </c>
      <c r="E68" s="166">
        <f>Vermögen!D70/Gesamtvermögen!$B68</f>
        <v>8.0207982601304642E-2</v>
      </c>
      <c r="F68" s="166">
        <f>Vermögen!E70/Gesamtvermögen!$B68</f>
        <v>0.16997646134475658</v>
      </c>
      <c r="G68" s="166">
        <f>Vermögen!F70/Gesamtvermögen!$B68</f>
        <v>0.21532759925230957</v>
      </c>
      <c r="H68" s="166">
        <f>Vermögen!G70/Gesamtvermögen!$B68</f>
        <v>9.5114092005664175E-2</v>
      </c>
      <c r="I68" s="166">
        <f>Vermögen!H70/Gesamtvermögen!$B68</f>
        <v>9.7773452068413272E-2</v>
      </c>
      <c r="J68" s="166">
        <f>Vermögen!I70/Gesamtvermögen!$B68</f>
        <v>0.14180812964795003</v>
      </c>
      <c r="K68" s="166">
        <f>Vermögen!J70/Gesamtvermögen!$B68</f>
        <v>3.3645872228054007E-2</v>
      </c>
      <c r="L68" s="171">
        <f>C67*Renditen!B69</f>
        <v>-3.7749972407046683E-5</v>
      </c>
      <c r="M68" s="171">
        <f>D67*Renditen!C69</f>
        <v>2.1518015019671411E-3</v>
      </c>
      <c r="N68" s="171">
        <f>E67*Renditen!D69</f>
        <v>3.3874341331668659E-3</v>
      </c>
      <c r="O68" s="171">
        <f>F67*Renditen!E69</f>
        <v>3.9601004852266907E-3</v>
      </c>
      <c r="P68" s="171">
        <f>G67*Renditen!F69</f>
        <v>7.9987725692818E-3</v>
      </c>
      <c r="Q68" s="171">
        <f>H67*Renditen!G69</f>
        <v>4.2279344550488865E-4</v>
      </c>
      <c r="R68" s="171">
        <f>I67*Renditen!H69</f>
        <v>-4.2084180821031821E-3</v>
      </c>
      <c r="S68" s="171">
        <f>J67*Renditen!I69</f>
        <v>1.0144351496757607E-3</v>
      </c>
      <c r="T68" s="171">
        <f>K67*Renditen!J69</f>
        <v>1.0239062273706201E-5</v>
      </c>
      <c r="U68" s="171">
        <f t="shared" ref="U68" si="2">SUM(L68:T68)</f>
        <v>1.4699408292586622E-2</v>
      </c>
      <c r="V68" s="173"/>
      <c r="W68" s="174">
        <f>Renditen!M69*Strategie!$B$4</f>
        <v>2.7286208000000002E-5</v>
      </c>
      <c r="X68" s="175">
        <f>Strategie!$B$5*Renditen!N69</f>
        <v>1.49693446E-3</v>
      </c>
      <c r="Y68" s="176">
        <f>Strategie!$B$6*Renditen!O69</f>
        <v>2.7161273100000001E-3</v>
      </c>
      <c r="Z68" s="174">
        <f>Strategie!$B$7*Renditen!P69</f>
        <v>2.8227459959999997E-3</v>
      </c>
      <c r="AA68" s="174">
        <f>Strategie!$B$8*Renditen!Q69</f>
        <v>6.0269001760000001E-3</v>
      </c>
      <c r="AB68" s="174">
        <f>Strategie!$B$9*Renditen!R69</f>
        <v>6.9042949199999988E-4</v>
      </c>
      <c r="AC68" s="174">
        <f>Strategie!$B$10*Renditen!S69</f>
        <v>4.3842531199999998E-3</v>
      </c>
      <c r="AD68" s="174">
        <f>Strategie!$B$11*Renditen!T69</f>
        <v>-3.2320015999999999E-5</v>
      </c>
      <c r="AE68" s="174">
        <f>Strategie!$B$12*Renditen!U69</f>
        <v>3.256438968E-3</v>
      </c>
      <c r="AF68" s="174">
        <f t="shared" ref="AF68" si="3">SUM(W68:AE68)</f>
        <v>2.1388795714E-2</v>
      </c>
    </row>
    <row r="69" spans="1:33" x14ac:dyDescent="0.25">
      <c r="A69" s="180"/>
    </row>
    <row r="70" spans="1:33" x14ac:dyDescent="0.25">
      <c r="A70" s="180"/>
      <c r="V70" t="s">
        <v>132</v>
      </c>
      <c r="AG70" t="s">
        <v>143</v>
      </c>
    </row>
    <row r="71" spans="1:33" x14ac:dyDescent="0.25">
      <c r="V71" s="170" cm="1">
        <f t="array" ref="V71">PRODUCT(1+U3:U68)-1</f>
        <v>0.26608180193658049</v>
      </c>
      <c r="AG71" s="170" cm="1">
        <f t="array" ref="AG71">PRODUCT(1+AF3:AF68)-1</f>
        <v>0.29997826555184659</v>
      </c>
    </row>
    <row r="72" spans="1:33" x14ac:dyDescent="0.25">
      <c r="A72" s="180" t="s">
        <v>144</v>
      </c>
    </row>
    <row r="73" spans="1:33" x14ac:dyDescent="0.25">
      <c r="A73" s="181" cm="1">
        <f t="array" ref="A73">PRODUCT(1+Renditen!W4:W69)-1</f>
        <v>-8.4555251173734636E-4</v>
      </c>
    </row>
    <row r="74" spans="1:33" x14ac:dyDescent="0.25">
      <c r="A74" s="177" t="s">
        <v>145</v>
      </c>
    </row>
    <row r="75" spans="1:33" x14ac:dyDescent="0.25">
      <c r="A75" s="182">
        <f>(1+A73)^(12/COUNT(Renditen!L4:L69))-1</f>
        <v>-1.53790026356182E-4</v>
      </c>
    </row>
  </sheetData>
  <phoneticPr fontId="28" type="noConversion"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2D07-F31F-47EC-9B0E-A9B215EA9BA4}">
  <dimension ref="A1:U67"/>
  <sheetViews>
    <sheetView topLeftCell="I37" workbookViewId="0">
      <selection activeCell="M67" sqref="M67"/>
    </sheetView>
  </sheetViews>
  <sheetFormatPr baseColWidth="10" defaultRowHeight="15" x14ac:dyDescent="0.25"/>
  <cols>
    <col min="1" max="1" width="15" customWidth="1"/>
    <col min="2" max="2" width="22.5703125" bestFit="1" customWidth="1"/>
    <col min="3" max="4" width="22.140625" bestFit="1" customWidth="1"/>
    <col min="5" max="7" width="22.5703125" bestFit="1" customWidth="1"/>
    <col min="8" max="10" width="21.5703125" bestFit="1" customWidth="1"/>
    <col min="13" max="13" width="23.28515625" bestFit="1" customWidth="1"/>
    <col min="14" max="14" width="22.140625" bestFit="1" customWidth="1"/>
    <col min="15" max="15" width="23.140625" bestFit="1" customWidth="1"/>
    <col min="16" max="17" width="22.5703125" bestFit="1" customWidth="1"/>
    <col min="18" max="18" width="23.140625" bestFit="1" customWidth="1"/>
    <col min="19" max="19" width="23.42578125" bestFit="1" customWidth="1"/>
    <col min="20" max="20" width="22.42578125" bestFit="1" customWidth="1"/>
    <col min="21" max="21" width="23.140625" bestFit="1" customWidth="1"/>
  </cols>
  <sheetData>
    <row r="1" spans="1:21" x14ac:dyDescent="0.25">
      <c r="A1" s="164" t="s">
        <v>109</v>
      </c>
      <c r="B1" s="164" t="s">
        <v>100</v>
      </c>
      <c r="C1" s="164" t="s">
        <v>101</v>
      </c>
      <c r="D1" s="164" t="s">
        <v>102</v>
      </c>
      <c r="E1" s="164" t="s">
        <v>103</v>
      </c>
      <c r="F1" s="164" t="s">
        <v>104</v>
      </c>
      <c r="G1" s="164" t="s">
        <v>105</v>
      </c>
      <c r="H1" s="164" t="s">
        <v>106</v>
      </c>
      <c r="I1" s="164" t="s">
        <v>107</v>
      </c>
      <c r="J1" s="164" t="s">
        <v>108</v>
      </c>
      <c r="L1" s="164" t="s">
        <v>110</v>
      </c>
      <c r="M1" s="164" t="s">
        <v>100</v>
      </c>
      <c r="N1" s="164" t="s">
        <v>101</v>
      </c>
      <c r="O1" s="164" t="s">
        <v>102</v>
      </c>
      <c r="P1" s="164" t="s">
        <v>103</v>
      </c>
      <c r="Q1" s="164" t="s">
        <v>104</v>
      </c>
      <c r="R1" s="164" t="s">
        <v>105</v>
      </c>
      <c r="S1" s="164" t="s">
        <v>106</v>
      </c>
      <c r="T1" s="164" t="s">
        <v>107</v>
      </c>
      <c r="U1" s="164" t="s">
        <v>108</v>
      </c>
    </row>
    <row r="2" spans="1:21" x14ac:dyDescent="0.25">
      <c r="A2" s="165">
        <v>43466</v>
      </c>
      <c r="B2" s="166">
        <f>PRODUCT(1+Renditen!B4)-1</f>
        <v>1.9999999999997797E-4</v>
      </c>
      <c r="C2" s="166">
        <f>PRODUCT(1+Renditen!C4)-1</f>
        <v>6.0000000000000053E-3</v>
      </c>
      <c r="D2" s="166">
        <f>PRODUCT(1+Renditen!D4)-1</f>
        <v>4.4948757832302011E-2</v>
      </c>
      <c r="E2" s="166">
        <f>PRODUCT(1+Renditen!E4)-1</f>
        <v>6.9399999999999906E-2</v>
      </c>
      <c r="F2" s="166">
        <f>PRODUCT(1+Renditen!F4)-1</f>
        <v>7.0999999999999952E-2</v>
      </c>
      <c r="G2" s="166">
        <f>PRODUCT(1+Renditen!G4)-1</f>
        <v>9.4400000000000039E-2</v>
      </c>
      <c r="H2" s="166">
        <f>PRODUCT(1+Renditen!H4)-1</f>
        <v>6.2631383000000262E-3</v>
      </c>
      <c r="I2" s="166">
        <f>PRODUCT(1+Renditen!I4)-1</f>
        <v>3.4000000000000696E-3</v>
      </c>
      <c r="J2" s="166">
        <f>PRODUCT(1+Renditen!J4)-1</f>
        <v>2.0616561052249072E-2</v>
      </c>
      <c r="L2" s="165">
        <v>43466</v>
      </c>
      <c r="M2" s="166">
        <f>PRODUCT(1+Renditen!M4)-1</f>
        <v>-7.5481879999994561E-4</v>
      </c>
      <c r="N2" s="166">
        <f>PRODUCT(1+Renditen!N4)-1</f>
        <v>3.2872104999999152E-3</v>
      </c>
      <c r="O2" s="166">
        <f>PRODUCT(1+Renditen!O4)-1</f>
        <v>6.0515220999999286E-3</v>
      </c>
      <c r="P2" s="166">
        <f>PRODUCT(1+Renditen!P4)-1</f>
        <v>6.9611986099999967E-2</v>
      </c>
      <c r="Q2" s="166">
        <f>PRODUCT(1+Renditen!Q4)-1</f>
        <v>7.1190243099999995E-2</v>
      </c>
      <c r="R2" s="166">
        <f>PRODUCT(1+Renditen!R4)-1</f>
        <v>9.4508223200000074E-2</v>
      </c>
      <c r="S2" s="166">
        <f>PRODUCT(1+Renditen!S4)-1</f>
        <v>0.11255421240000008</v>
      </c>
      <c r="T2" s="166">
        <f>PRODUCT(1+Renditen!T4)-1</f>
        <v>3.2002073999999325E-3</v>
      </c>
      <c r="U2" s="166">
        <f>PRODUCT(1+Renditen!U4)-1</f>
        <v>0.10215546889999993</v>
      </c>
    </row>
    <row r="3" spans="1:21" x14ac:dyDescent="0.25">
      <c r="A3" s="165">
        <v>43497</v>
      </c>
      <c r="B3" s="166" cm="1">
        <f t="array" ref="B3">PRODUCT(1+Renditen!$B$4:B5)-1</f>
        <v>-1.300299999999921E-3</v>
      </c>
      <c r="C3" s="166" cm="1">
        <f t="array" ref="C3">PRODUCT(1+Renditen!$C$4:C5)-1</f>
        <v>5.8994000000001101E-3</v>
      </c>
      <c r="D3" s="166" cm="1">
        <f t="array" ref="D3">PRODUCT(1+Renditen!$D$4:D5)-1</f>
        <v>5.1842567870516776E-2</v>
      </c>
      <c r="E3" s="166" cm="1">
        <f t="array" ref="E3">PRODUCT(1+Renditen!$E$4:E5)-1</f>
        <v>0.11517031999999983</v>
      </c>
      <c r="F3" s="166" cm="1">
        <f t="array" ref="F3">PRODUCT(1+Renditen!$F$4:F5)-1</f>
        <v>0.10420099999999977</v>
      </c>
      <c r="G3" s="166" cm="1">
        <f t="array" ref="G3">PRODUCT(1+Renditen!$G$4:G5)-1</f>
        <v>0.10140415999999997</v>
      </c>
      <c r="H3" s="166" cm="1">
        <f t="array" ref="H3">PRODUCT(1+Renditen!$H$4:H5)-1</f>
        <v>8.2400507103566056E-3</v>
      </c>
      <c r="I3" s="166" cm="1">
        <f t="array" ref="I3">PRODUCT(1+Renditen!$I$4:I5)-1</f>
        <v>6.8115600000000498E-3</v>
      </c>
      <c r="J3" s="166" cm="1">
        <f t="array" ref="J3">PRODUCT(1+Renditen!$J$4:J5)-1</f>
        <v>4.887430109625801E-2</v>
      </c>
      <c r="L3" s="165">
        <v>43497</v>
      </c>
      <c r="M3" s="166" cm="1">
        <f t="array" ref="M3">PRODUCT(1+Renditen!$M4:M5)-1</f>
        <v>-1.4188517967906877E-3</v>
      </c>
      <c r="N3" s="166" cm="1">
        <f t="array" ref="N3">PRODUCT(1+Renditen!$N$4:N5)-1</f>
        <v>4.2045715786713789E-3</v>
      </c>
      <c r="O3" s="166" cm="1">
        <f t="array" ref="O3">PRODUCT(1+Renditen!$O$4:O5)-1</f>
        <v>2.5400908143198286E-3</v>
      </c>
      <c r="P3" s="166" cm="1">
        <f t="array" ref="P3">PRODUCT(1+Renditen!$P$4:P5)-1</f>
        <v>0.11540112679999281</v>
      </c>
      <c r="Q3" s="166" cm="1">
        <f t="array" ref="Q3">PRODUCT(1+Renditen!$Q$4:Q5)-1</f>
        <v>0.10441491875208864</v>
      </c>
      <c r="R3" s="166" cm="1">
        <f t="array" ref="R3">PRODUCT(1+Renditen!$R$4:R5)-1</f>
        <v>0.1015017396784601</v>
      </c>
      <c r="S3" s="166" cm="1">
        <f t="array" ref="S3">PRODUCT(1+Renditen!$S$4:S5)-1</f>
        <v>0.14726836056909209</v>
      </c>
      <c r="T3" s="166" cm="1">
        <f t="array" ref="T3">PRODUCT(1+Renditen!$T$4:T5)-1</f>
        <v>6.1103546661191999E-3</v>
      </c>
      <c r="U3" s="166" cm="1">
        <f t="array" ref="U3">PRODUCT(1+Renditen!$U$4:U5)-1</f>
        <v>0.1040472368722154</v>
      </c>
    </row>
    <row r="4" spans="1:21" x14ac:dyDescent="0.25">
      <c r="A4" s="165">
        <v>43525</v>
      </c>
      <c r="B4" s="166" cm="1">
        <f t="array" ref="B4">PRODUCT(1+Renditen!$B$4:B6)-1</f>
        <v>-2.1991297299999157E-3</v>
      </c>
      <c r="C4" s="166" cm="1">
        <f t="array" ref="C4">PRODUCT(1+Renditen!$C$4:C6)-1</f>
        <v>1.9579631840000111E-2</v>
      </c>
      <c r="D4" s="166" cm="1">
        <f t="array" ref="D4">PRODUCT(1+Renditen!$D$4:D6)-1</f>
        <v>5.8656726983668861E-2</v>
      </c>
      <c r="E4" s="166" cm="1">
        <f t="array" ref="E4">PRODUCT(1+Renditen!$E$4:E6)-1</f>
        <v>0.14304957799999962</v>
      </c>
      <c r="F4" s="166" cm="1">
        <f t="array" ref="F4">PRODUCT(1+Renditen!$F$4:F6)-1</f>
        <v>0.11954939389999986</v>
      </c>
      <c r="G4" s="166" cm="1">
        <f t="array" ref="G4">PRODUCT(1+Renditen!$G$4:G6)-1</f>
        <v>0.11043567411200006</v>
      </c>
      <c r="H4" s="166" cm="1">
        <f t="array" ref="H4">PRODUCT(1+Renditen!$H$4:H6)-1</f>
        <v>-3.0440951093018143E-3</v>
      </c>
      <c r="I4" s="166" cm="1">
        <f t="array" ref="I4">PRODUCT(1+Renditen!$I$4:I6)-1</f>
        <v>1.0234719304000217E-2</v>
      </c>
      <c r="J4" s="166" cm="1">
        <f t="array" ref="J4">PRODUCT(1+Renditen!$J$4:J6)-1</f>
        <v>4.7654525958495064E-2</v>
      </c>
      <c r="L4" s="165">
        <v>43525</v>
      </c>
      <c r="M4" s="166" cm="1">
        <f t="array" ref="M4">PRODUCT(1+Renditen!$M$4:M6)-1</f>
        <v>-2.1416793543909129E-3</v>
      </c>
      <c r="N4" s="166" cm="1">
        <f t="array" ref="N4">PRODUCT(1+Renditen!$N$4:N6)-1</f>
        <v>1.1161226263487922E-2</v>
      </c>
      <c r="O4" s="166" cm="1">
        <f t="array" ref="O4">PRODUCT(1+Renditen!$O$4:O6)-1</f>
        <v>1.8691293491358119E-2</v>
      </c>
      <c r="P4" s="166" cm="1">
        <f t="array" ref="P4">PRODUCT(1+Renditen!$P$4:P6)-1</f>
        <v>0.14355253183243177</v>
      </c>
      <c r="Q4" s="166" cm="1">
        <f t="array" ref="Q4">PRODUCT(1+Renditen!$Q$4:Q6)-1</f>
        <v>0.11945261527782725</v>
      </c>
      <c r="R4" s="166" cm="1">
        <f t="array" ref="R4">PRODUCT(1+Renditen!$R$4:R6)-1</f>
        <v>0.11041101917355611</v>
      </c>
      <c r="S4" s="166" cm="1">
        <f t="array" ref="S4">PRODUCT(1+Renditen!$S$4:S6)-1</f>
        <v>0.15294967318611552</v>
      </c>
      <c r="T4" s="166" cm="1">
        <f t="array" ref="T4">PRODUCT(1+Renditen!$T$4:T6)-1</f>
        <v>1.0172455298413929E-2</v>
      </c>
      <c r="U4" s="166" cm="1">
        <f t="array" ref="U4">PRODUCT(1+Renditen!$U$4:U6)-1</f>
        <v>0.14463425815888487</v>
      </c>
    </row>
    <row r="5" spans="1:21" x14ac:dyDescent="0.25">
      <c r="A5" s="165">
        <v>43556</v>
      </c>
      <c r="B5" s="166" cm="1">
        <f t="array" ref="B5">PRODUCT(1+Renditen!$B$4:B7)-1</f>
        <v>-4.0308816351386501E-4</v>
      </c>
      <c r="C5" s="166" cm="1">
        <f t="array" ref="C5">PRODUCT(1+Renditen!$C$4:C7)-1</f>
        <v>1.5909145165376115E-2</v>
      </c>
      <c r="D5" s="166" cm="1">
        <f t="array" ref="D5">PRODUCT(1+Renditen!$D$4:D7)-1</f>
        <v>5.987786457737676E-2</v>
      </c>
      <c r="E5" s="166" cm="1">
        <f t="array" ref="E5">PRODUCT(1+Renditen!$E$4:E7)-1</f>
        <v>0.1932294544741997</v>
      </c>
      <c r="F5" s="166" cm="1">
        <f t="array" ref="F5">PRODUCT(1+Renditen!$F$4:F7)-1</f>
        <v>0.16018903689856989</v>
      </c>
      <c r="G5" s="166" cm="1">
        <f t="array" ref="G5">PRODUCT(1+Renditen!$G$4:G7)-1</f>
        <v>0.15996110517739526</v>
      </c>
      <c r="H5" s="166" cm="1">
        <f t="array" ref="H5">PRODUCT(1+Renditen!$H$4:H7)-1</f>
        <v>1.8833542333088316E-2</v>
      </c>
      <c r="I5" s="166" cm="1">
        <f t="array" ref="I5">PRODUCT(1+Renditen!$I$4:I7)-1</f>
        <v>1.3669517349633953E-2</v>
      </c>
      <c r="J5" s="166" cm="1">
        <f t="array" ref="J5">PRODUCT(1+Renditen!$J$4:J7)-1</f>
        <v>4.3329245883875434E-2</v>
      </c>
      <c r="L5" s="165">
        <v>43556</v>
      </c>
      <c r="M5" s="166" cm="1">
        <f t="array" ref="M5">PRODUCT(1+Renditen!$M$4:M7)-1</f>
        <v>-2.8074416447724237E-3</v>
      </c>
      <c r="N5" s="166" cm="1">
        <f t="array" ref="N5">PRODUCT(1+Renditen!$N$4:N7)-1</f>
        <v>1.0090971662884307E-2</v>
      </c>
      <c r="O5" s="166" cm="1">
        <f t="array" ref="O5">PRODUCT(1+Renditen!$O$4:O7)-1</f>
        <v>1.3988390328446565E-2</v>
      </c>
      <c r="P5" s="166" cm="1">
        <f t="array" ref="P5">PRODUCT(1+Renditen!$P$4:P7)-1</f>
        <v>0.19380349675331132</v>
      </c>
      <c r="Q5" s="166" cm="1">
        <f t="array" ref="Q5">PRODUCT(1+Renditen!$Q$4:Q7)-1</f>
        <v>0.16022051945005988</v>
      </c>
      <c r="R5" s="166" cm="1">
        <f t="array" ref="R5">PRODUCT(1+Renditen!$R$4:R7)-1</f>
        <v>0.16008737389218086</v>
      </c>
      <c r="S5" s="166" cm="1">
        <f t="array" ref="S5">PRODUCT(1+Renditen!$S$4:S7)-1</f>
        <v>0.25696478643144238</v>
      </c>
      <c r="T5" s="166" cm="1">
        <f t="array" ref="T5">PRODUCT(1+Renditen!$T$4:T7)-1</f>
        <v>1.3280226511983351E-2</v>
      </c>
      <c r="U5" s="166" cm="1">
        <f t="array" ref="U5">PRODUCT(1+Renditen!$U$4:U7)-1</f>
        <v>0.13001605129088101</v>
      </c>
    </row>
    <row r="6" spans="1:21" x14ac:dyDescent="0.25">
      <c r="A6" s="165">
        <v>43586</v>
      </c>
      <c r="B6" s="166" cm="1">
        <f t="array" ref="B6">PRODUCT(1+Renditen!$B$4:B8)-1</f>
        <v>-1.8025238400849464E-3</v>
      </c>
      <c r="C6" s="166" cm="1">
        <f t="array" ref="C6">PRODUCT(1+Renditen!$C$4:C8)-1</f>
        <v>3.0944600513823639E-2</v>
      </c>
      <c r="D6" s="166" cm="1">
        <f t="array" ref="D6">PRODUCT(1+Renditen!$D$4:D8)-1</f>
        <v>5.7212760329508061E-2</v>
      </c>
      <c r="E6" s="166" cm="1">
        <f t="array" ref="E6">PRODUCT(1+Renditen!$E$4:E8)-1</f>
        <v>0.17389913731171758</v>
      </c>
      <c r="F6" s="166" cm="1">
        <f t="array" ref="F6">PRODUCT(1+Renditen!$F$4:F8)-1</f>
        <v>9.0461675780965756E-2</v>
      </c>
      <c r="G6" s="166" cm="1">
        <f t="array" ref="G6">PRODUCT(1+Renditen!$G$4:G8)-1</f>
        <v>6.2524372342494194E-2</v>
      </c>
      <c r="H6" s="166" cm="1">
        <f t="array" ref="H6">PRODUCT(1+Renditen!$H$4:H8)-1</f>
        <v>5.6947130601039397E-3</v>
      </c>
      <c r="I6" s="166" cm="1">
        <f t="array" ref="I6">PRODUCT(1+Renditen!$I$4:I8)-1</f>
        <v>1.7115993708622712E-2</v>
      </c>
      <c r="J6" s="166" cm="1">
        <f t="array" ref="J6">PRODUCT(1+Renditen!$J$4:J8)-1</f>
        <v>1.7756170823327366E-2</v>
      </c>
      <c r="L6" s="165">
        <v>43586</v>
      </c>
      <c r="M6" s="166" cm="1">
        <f t="array" ref="M6">PRODUCT(1+Renditen!$M$4:M8)-1</f>
        <v>-3.4835793833899453E-3</v>
      </c>
      <c r="N6" s="166" cm="1">
        <f t="array" ref="N6">PRODUCT(1+Renditen!$N$4:N8)-1</f>
        <v>1.7200519895998578E-2</v>
      </c>
      <c r="O6" s="166" cm="1">
        <f t="array" ref="O6">PRODUCT(1+Renditen!$O$4:O8)-1</f>
        <v>2.8953980145956404E-2</v>
      </c>
      <c r="P6" s="166" cm="1">
        <f t="array" ref="P6">PRODUCT(1+Renditen!$P$4:P8)-1</f>
        <v>0.17441195693600031</v>
      </c>
      <c r="Q6" s="166" cm="1">
        <f t="array" ref="Q6">PRODUCT(1+Renditen!$Q$4:Q8)-1</f>
        <v>9.0887259124229791E-2</v>
      </c>
      <c r="R6" s="166" cm="1">
        <f t="array" ref="R6">PRODUCT(1+Renditen!$R$4:R8)-1</f>
        <v>6.2023809065204771E-2</v>
      </c>
      <c r="S6" s="166" cm="1">
        <f t="array" ref="S6">PRODUCT(1+Renditen!$S$4:S8)-1</f>
        <v>0.19070293996326004</v>
      </c>
      <c r="T6" s="166" cm="1">
        <f t="array" ref="T6">PRODUCT(1+Renditen!$T$4:T8)-1</f>
        <v>1.7068859189402596E-2</v>
      </c>
      <c r="U6" s="166" cm="1">
        <f t="array" ref="U6">PRODUCT(1+Renditen!$U$4:U8)-1</f>
        <v>0.12560192609052589</v>
      </c>
    </row>
    <row r="7" spans="1:21" x14ac:dyDescent="0.25">
      <c r="A7" s="165">
        <v>43617</v>
      </c>
      <c r="B7" s="166" cm="1">
        <f t="array" ref="B7">PRODUCT(1+Renditen!$B$4:B9)-1</f>
        <v>-6.993150716116503E-3</v>
      </c>
      <c r="C7" s="166" cm="1">
        <f t="array" ref="C7">PRODUCT(1+Renditen!$C$4:C9)-1</f>
        <v>3.5274567835981596E-2</v>
      </c>
      <c r="D7" s="166" cm="1">
        <f t="array" ref="D7">PRODUCT(1+Renditen!$D$4:D9)-1</f>
        <v>8.912975813293067E-2</v>
      </c>
      <c r="E7" s="166" cm="1">
        <f t="array" ref="E7">PRODUCT(1+Renditen!$E$4:E9)-1</f>
        <v>0.21827252470210046</v>
      </c>
      <c r="F7" s="166" cm="1">
        <f t="array" ref="F7">PRODUCT(1+Renditen!$F$4:F9)-1</f>
        <v>0.15174562195985608</v>
      </c>
      <c r="G7" s="166" cm="1">
        <f t="array" ref="G7">PRODUCT(1+Renditen!$G$4:G9)-1</f>
        <v>9.3231326703192119E-2</v>
      </c>
      <c r="H7" s="166" cm="1">
        <f t="array" ref="H7">PRODUCT(1+Renditen!$H$4:H9)-1</f>
        <v>-1.7401837975226098E-3</v>
      </c>
      <c r="I7" s="166" cm="1">
        <f t="array" ref="I7">PRODUCT(1+Renditen!$I$4:I9)-1</f>
        <v>2.0574188087232104E-2</v>
      </c>
      <c r="J7" s="166" cm="1">
        <f t="array" ref="J7">PRODUCT(1+Renditen!$J$4:J9)-1</f>
        <v>2.1415311294510575E-2</v>
      </c>
      <c r="L7" s="165">
        <v>43617</v>
      </c>
      <c r="M7" s="166" cm="1">
        <f t="array" ref="M7">PRODUCT(1+Renditen!$M$4:M9)-1</f>
        <v>-4.1346430230290165E-3</v>
      </c>
      <c r="N7" s="166" cm="1">
        <f t="array" ref="N7">PRODUCT(1+Renditen!$N$4:N9)-1</f>
        <v>1.9111688720325981E-2</v>
      </c>
      <c r="O7" s="166" cm="1">
        <f t="array" ref="O7">PRODUCT(1+Renditen!$O$4:O9)-1</f>
        <v>4.0375286391885812E-2</v>
      </c>
      <c r="P7" s="166" cm="1">
        <f t="array" ref="P7">PRODUCT(1+Renditen!$P$4:P9)-1</f>
        <v>0.21844424163126419</v>
      </c>
      <c r="Q7" s="166" cm="1">
        <f t="array" ref="Q7">PRODUCT(1+Renditen!$Q$4:Q9)-1</f>
        <v>0.15202436072263836</v>
      </c>
      <c r="R7" s="166" cm="1">
        <f t="array" ref="R7">PRODUCT(1+Renditen!$R$4:R9)-1</f>
        <v>9.3701693283370746E-2</v>
      </c>
      <c r="S7" s="166" cm="1">
        <f t="array" ref="S7">PRODUCT(1+Renditen!$S$4:S9)-1</f>
        <v>0.24506600166702319</v>
      </c>
      <c r="T7" s="166" cm="1">
        <f t="array" ref="T7">PRODUCT(1+Renditen!$T$4:T9)-1</f>
        <v>2.0616314309867212E-2</v>
      </c>
      <c r="U7" s="166" cm="1">
        <f t="array" ref="U7">PRODUCT(1+Renditen!$U$4:U9)-1</f>
        <v>0.13460215534676245</v>
      </c>
    </row>
    <row r="8" spans="1:21" x14ac:dyDescent="0.25">
      <c r="A8" s="165">
        <v>43647</v>
      </c>
      <c r="B8" s="166" cm="1">
        <f t="array" ref="B8">PRODUCT(1+Renditen!$B$4:B10)-1</f>
        <v>-7.4896541407584172E-3</v>
      </c>
      <c r="C8" s="166" cm="1">
        <f t="array" ref="C8">PRODUCT(1+Renditen!$C$4:C10)-1</f>
        <v>5.090721381030483E-2</v>
      </c>
      <c r="D8" s="166" cm="1">
        <f t="array" ref="D8">PRODUCT(1+Renditen!$D$4:D10)-1</f>
        <v>0.10078855640259365</v>
      </c>
      <c r="E8" s="166" cm="1">
        <f t="array" ref="E8">PRODUCT(1+Renditen!$E$4:E10)-1</f>
        <v>0.22728774138489616</v>
      </c>
      <c r="F8" s="166" cm="1">
        <f t="array" ref="F8">PRODUCT(1+Renditen!$F$4:F10)-1</f>
        <v>0.16303272905506261</v>
      </c>
      <c r="G8" s="166" cm="1">
        <f t="array" ref="G8">PRODUCT(1+Renditen!$G$4:G10)-1</f>
        <v>9.6073728152620275E-2</v>
      </c>
      <c r="H8" s="166" cm="1">
        <f t="array" ref="H8">PRODUCT(1+Renditen!$H$4:H10)-1</f>
        <v>1.3280960084355531E-2</v>
      </c>
      <c r="I8" s="166" cm="1">
        <f t="array" ref="I8">PRODUCT(1+Renditen!$I$4:I10)-1</f>
        <v>2.4044140326728858E-2</v>
      </c>
      <c r="J8" s="166" cm="1">
        <f t="array" ref="J8">PRODUCT(1+Renditen!$J$4:J10)-1</f>
        <v>2.7960685374023075E-2</v>
      </c>
      <c r="L8" s="165">
        <v>43647</v>
      </c>
      <c r="M8" s="166" cm="1">
        <f t="array" ref="M8">PRODUCT(1+Renditen!$M$4:M10)-1</f>
        <v>-4.8090515076293361E-3</v>
      </c>
      <c r="N8" s="166" cm="1">
        <f t="array" ref="N8">PRODUCT(1+Renditen!$N$4:N10)-1</f>
        <v>2.7138598012550252E-2</v>
      </c>
      <c r="O8" s="166" cm="1">
        <f t="array" ref="O8">PRODUCT(1+Renditen!$O$4:O10)-1</f>
        <v>4.5568253986230323E-2</v>
      </c>
      <c r="P8" s="166" cm="1">
        <f t="array" ref="P8">PRODUCT(1+Renditen!$P$4:P10)-1</f>
        <v>0.22730176639717303</v>
      </c>
      <c r="Q8" s="166" cm="1">
        <f t="array" ref="Q8">PRODUCT(1+Renditen!$Q$4:Q10)-1</f>
        <v>0.16338666455486828</v>
      </c>
      <c r="R8" s="166" cm="1">
        <f t="array" ref="R8">PRODUCT(1+Renditen!$R$4:R10)-1</f>
        <v>9.6948011868423833E-2</v>
      </c>
      <c r="S8" s="166" cm="1">
        <f t="array" ref="S8">PRODUCT(1+Renditen!$S$4:S10)-1</f>
        <v>0.27866680926621812</v>
      </c>
      <c r="T8" s="166" cm="1">
        <f t="array" ref="T8">PRODUCT(1+Renditen!$T$4:T10)-1</f>
        <v>2.4589704056240613E-2</v>
      </c>
      <c r="U8" s="166" cm="1">
        <f t="array" ref="U8">PRODUCT(1+Renditen!$U$4:U10)-1</f>
        <v>0.1445769317944845</v>
      </c>
    </row>
    <row r="9" spans="1:21" x14ac:dyDescent="0.25">
      <c r="A9" s="165">
        <v>43678</v>
      </c>
      <c r="B9" s="166" cm="1">
        <f t="array" ref="B9">PRODUCT(1+Renditen!$B$4:B11)-1</f>
        <v>-8.0851603482740009E-3</v>
      </c>
      <c r="C9" s="166" cm="1">
        <f t="array" ref="C9">PRODUCT(1+Renditen!$C$4:C11)-1</f>
        <v>7.5708624056228135E-2</v>
      </c>
      <c r="D9" s="166" cm="1">
        <f t="array" ref="D9">PRODUCT(1+Renditen!$D$4:D11)-1</f>
        <v>0.10547178093634302</v>
      </c>
      <c r="E9" s="166" cm="1">
        <f t="array" ref="E9">PRODUCT(1+Renditen!$E$4:E11)-1</f>
        <v>0.22691955506248074</v>
      </c>
      <c r="F9" s="166" cm="1">
        <f t="array" ref="F9">PRODUCT(1+Renditen!$F$4:F11)-1</f>
        <v>0.13686449265132383</v>
      </c>
      <c r="G9" s="166" cm="1">
        <f t="array" ref="G9">PRODUCT(1+Renditen!$G$4:G11)-1</f>
        <v>4.1050826999358803E-2</v>
      </c>
      <c r="H9" s="166" cm="1">
        <f t="array" ref="H9">PRODUCT(1+Renditen!$H$4:H11)-1</f>
        <v>1.4014987702151149E-2</v>
      </c>
      <c r="I9" s="166" cm="1">
        <f t="array" ref="I9">PRODUCT(1+Renditen!$I$4:I11)-1</f>
        <v>2.7525890403839792E-2</v>
      </c>
      <c r="J9" s="166" cm="1">
        <f t="array" ref="J9">PRODUCT(1+Renditen!$J$4:J11)-1</f>
        <v>4.0091890816171372E-2</v>
      </c>
      <c r="L9" s="165">
        <v>43678</v>
      </c>
      <c r="M9" s="166" cm="1">
        <f t="array" ref="M9">PRODUCT(1+Renditen!$M$4:M11)-1</f>
        <v>-5.5154511793896743E-3</v>
      </c>
      <c r="N9" s="166" cm="1">
        <f t="array" ref="N9">PRODUCT(1+Renditen!$N$4:N11)-1</f>
        <v>3.5471294298070166E-2</v>
      </c>
      <c r="O9" s="166" cm="1">
        <f t="array" ref="O9">PRODUCT(1+Renditen!$O$4:O11)-1</f>
        <v>7.2794662699518842E-2</v>
      </c>
      <c r="P9" s="166" cm="1">
        <f t="array" ref="P9">PRODUCT(1+Renditen!$P$4:P11)-1</f>
        <v>0.22694266379137362</v>
      </c>
      <c r="Q9" s="166" cm="1">
        <f t="array" ref="Q9">PRODUCT(1+Renditen!$Q$4:Q11)-1</f>
        <v>0.13736389250105985</v>
      </c>
      <c r="R9" s="166" cm="1">
        <f t="array" ref="R9">PRODUCT(1+Renditen!$R$4:R11)-1</f>
        <v>4.2885206631335659E-2</v>
      </c>
      <c r="S9" s="166" cm="1">
        <f t="array" ref="S9">PRODUCT(1+Renditen!$S$4:S11)-1</f>
        <v>0.27732699149546547</v>
      </c>
      <c r="T9" s="166" cm="1">
        <f t="array" ref="T9">PRODUCT(1+Renditen!$T$4:T11)-1</f>
        <v>2.8426198543279879E-2</v>
      </c>
      <c r="U9" s="166" cm="1">
        <f t="array" ref="U9">PRODUCT(1+Renditen!$U$4:U11)-1</f>
        <v>0.16544370548261811</v>
      </c>
    </row>
    <row r="10" spans="1:21" x14ac:dyDescent="0.25">
      <c r="A10" s="165">
        <v>43709</v>
      </c>
      <c r="B10" s="166" cm="1">
        <f t="array" ref="B10">PRODUCT(1+Renditen!$B$4:B12)-1</f>
        <v>-8.9778837039605763E-3</v>
      </c>
      <c r="C10" s="166" cm="1">
        <f t="array" ref="C10">PRODUCT(1+Renditen!$C$4:C12)-1</f>
        <v>5.516258933675422E-2</v>
      </c>
      <c r="D10" s="166" cm="1">
        <f t="array" ref="D10">PRODUCT(1+Renditen!$D$4:D12)-1</f>
        <v>9.6715050123626245E-2</v>
      </c>
      <c r="E10" s="166" cm="1">
        <f t="array" ref="E10">PRODUCT(1+Renditen!$E$4:E12)-1</f>
        <v>0.24434181274436795</v>
      </c>
      <c r="F10" s="166" cm="1">
        <f t="array" ref="F10">PRODUCT(1+Renditen!$F$4:F12)-1</f>
        <v>0.16119339279406231</v>
      </c>
      <c r="G10" s="166" cm="1">
        <f t="array" ref="G10">PRODUCT(1+Renditen!$G$4:G12)-1</f>
        <v>6.9263304411041338E-2</v>
      </c>
      <c r="H10" s="166" cm="1">
        <f t="array" ref="H10">PRODUCT(1+Renditen!$H$4:H12)-1</f>
        <v>5.6632635962355016E-2</v>
      </c>
      <c r="I10" s="166" cm="1">
        <f t="array" ref="I10">PRODUCT(1+Renditen!$I$4:I12)-1</f>
        <v>3.1019478431212999E-2</v>
      </c>
      <c r="J10" s="166" cm="1">
        <f t="array" ref="J10">PRODUCT(1+Renditen!$J$4:J12)-1</f>
        <v>5.7540073757866406E-2</v>
      </c>
      <c r="L10" s="165">
        <v>43709</v>
      </c>
      <c r="M10" s="166" cm="1">
        <f t="array" ref="M10">PRODUCT(1+Renditen!$M$4:M12)-1</f>
        <v>-6.2564359481540599E-3</v>
      </c>
      <c r="N10" s="166" cm="1">
        <f t="array" ref="N10">PRODUCT(1+Renditen!$N$4:N12)-1</f>
        <v>2.4004281093621183E-2</v>
      </c>
      <c r="O10" s="166" cm="1">
        <f t="array" ref="O10">PRODUCT(1+Renditen!$O$4:O12)-1</f>
        <v>6.3322314838467619E-2</v>
      </c>
      <c r="P10" s="166" cm="1">
        <f t="array" ref="P10">PRODUCT(1+Renditen!$P$4:P12)-1</f>
        <v>0.24446137677139701</v>
      </c>
      <c r="Q10" s="166" cm="1">
        <f t="array" ref="Q10">PRODUCT(1+Renditen!$Q$4:Q12)-1</f>
        <v>0.16187824372421233</v>
      </c>
      <c r="R10" s="166" cm="1">
        <f t="array" ref="R10">PRODUCT(1+Renditen!$R$4:R12)-1</f>
        <v>7.1063837161076338E-2</v>
      </c>
      <c r="S10" s="166" cm="1">
        <f t="array" ref="S10">PRODUCT(1+Renditen!$S$4:S12)-1</f>
        <v>0.31517960177700832</v>
      </c>
      <c r="T10" s="166" cm="1">
        <f t="array" ref="T10">PRODUCT(1+Renditen!$T$4:T12)-1</f>
        <v>3.45191706450656E-2</v>
      </c>
      <c r="U10" s="166" cm="1">
        <f t="array" ref="U10">PRODUCT(1+Renditen!$U$4:U12)-1</f>
        <v>0.19473744547538119</v>
      </c>
    </row>
    <row r="11" spans="1:21" x14ac:dyDescent="0.25">
      <c r="A11" s="165">
        <v>43739</v>
      </c>
      <c r="B11" s="166" cm="1">
        <f t="array" ref="B11">PRODUCT(1+Renditen!$B$4:B13)-1</f>
        <v>-9.6715991853678629E-3</v>
      </c>
      <c r="C11" s="166" cm="1">
        <f t="array" ref="C11">PRODUCT(1+Renditen!$C$4:C13)-1</f>
        <v>3.7963439130565213E-2</v>
      </c>
      <c r="D11" s="166" cm="1">
        <f t="array" ref="D11">PRODUCT(1+Renditen!$D$4:D13)-1</f>
        <v>9.674886562508811E-2</v>
      </c>
      <c r="E11" s="166" cm="1">
        <f t="array" ref="E11">PRODUCT(1+Renditen!$E$4:E13)-1</f>
        <v>0.25491871815269507</v>
      </c>
      <c r="F11" s="166" cm="1">
        <f t="array" ref="F11">PRODUCT(1+Renditen!$F$4:F13)-1</f>
        <v>0.1807014417930024</v>
      </c>
      <c r="G11" s="166" cm="1">
        <f t="array" ref="G11">PRODUCT(1+Renditen!$G$4:G13)-1</f>
        <v>0.10369358281307695</v>
      </c>
      <c r="H11" s="166" cm="1">
        <f t="array" ref="H11">PRODUCT(1+Renditen!$H$4:H13)-1</f>
        <v>4.5263851743625461E-2</v>
      </c>
      <c r="I11" s="166" cm="1">
        <f t="array" ref="I11">PRODUCT(1+Renditen!$I$4:I13)-1</f>
        <v>3.4524944657879253E-2</v>
      </c>
      <c r="J11" s="166" cm="1">
        <f t="array" ref="J11">PRODUCT(1+Renditen!$J$4:J13)-1</f>
        <v>6.2270030248420039E-2</v>
      </c>
      <c r="L11" s="165">
        <v>43739</v>
      </c>
      <c r="M11" s="166" cm="1">
        <f t="array" ref="M11">PRODUCT(1+Renditen!$M$4:M13)-1</f>
        <v>-7.0527567514330203E-3</v>
      </c>
      <c r="N11" s="166" cm="1">
        <f t="array" ref="N11">PRODUCT(1+Renditen!$N$4:N13)-1</f>
        <v>1.5977371836016552E-2</v>
      </c>
      <c r="O11" s="166" cm="1">
        <f t="array" ref="O11">PRODUCT(1+Renditen!$O$4:O13)-1</f>
        <v>5.6092294420645894E-2</v>
      </c>
      <c r="P11" s="166" cm="1">
        <f t="array" ref="P11">PRODUCT(1+Renditen!$P$4:P13)-1</f>
        <v>0.25503303149090661</v>
      </c>
      <c r="Q11" s="166" cm="1">
        <f t="array" ref="Q11">PRODUCT(1+Renditen!$Q$4:Q13)-1</f>
        <v>0.18146530218286117</v>
      </c>
      <c r="R11" s="166" cm="1">
        <f t="array" ref="R11">PRODUCT(1+Renditen!$R$4:R13)-1</f>
        <v>0.10458587660479823</v>
      </c>
      <c r="S11" s="166" cm="1">
        <f t="array" ref="S11">PRODUCT(1+Renditen!$S$4:S13)-1</f>
        <v>0.34001355412610246</v>
      </c>
      <c r="T11" s="166" cm="1">
        <f t="array" ref="T11">PRODUCT(1+Renditen!$T$4:T13)-1</f>
        <v>3.8193782946100763E-2</v>
      </c>
      <c r="U11" s="166" cm="1">
        <f t="array" ref="U11">PRODUCT(1+Renditen!$U$4:U13)-1</f>
        <v>0.21503095608407485</v>
      </c>
    </row>
    <row r="12" spans="1:21" x14ac:dyDescent="0.25">
      <c r="A12" s="165">
        <v>43770</v>
      </c>
      <c r="B12" s="166" cm="1">
        <f t="array" ref="B12">PRODUCT(1+Renditen!$B$4:B14)-1</f>
        <v>-1.0067730545693654E-2</v>
      </c>
      <c r="C12" s="166" cm="1">
        <f t="array" ref="C12">PRODUCT(1+Renditen!$C$4:C14)-1</f>
        <v>4.6267146643609758E-2</v>
      </c>
      <c r="D12" s="166" cm="1">
        <f t="array" ref="D12">PRODUCT(1+Renditen!$D$4:D14)-1</f>
        <v>9.0291911559937654E-2</v>
      </c>
      <c r="E12" s="166" cm="1">
        <f t="array" ref="E12">PRODUCT(1+Renditen!$E$4:E14)-1</f>
        <v>0.28942898290189434</v>
      </c>
      <c r="F12" s="166" cm="1">
        <f t="array" ref="F12">PRODUCT(1+Renditen!$F$4:F14)-1</f>
        <v>0.21635862533515104</v>
      </c>
      <c r="G12" s="166" cm="1">
        <f t="array" ref="G12">PRODUCT(1+Renditen!$G$4:G14)-1</f>
        <v>0.11605495094058349</v>
      </c>
      <c r="H12" s="166" cm="1">
        <f t="array" ref="H12">PRODUCT(1+Renditen!$H$4:H14)-1</f>
        <v>5.8537628234056172E-2</v>
      </c>
      <c r="I12" s="166" cm="1">
        <f t="array" ref="I12">PRODUCT(1+Renditen!$I$4:I14)-1</f>
        <v>3.8042329469716085E-2</v>
      </c>
      <c r="J12" s="166" cm="1">
        <f t="array" ref="J12">PRODUCT(1+Renditen!$J$4:J14)-1</f>
        <v>5.9454518904435316E-2</v>
      </c>
      <c r="L12" s="165">
        <v>43770</v>
      </c>
      <c r="M12" s="166" cm="1">
        <f t="array" ref="M12">PRODUCT(1+Renditen!$M$4:M14)-1</f>
        <v>-7.8196803073534715E-3</v>
      </c>
      <c r="N12" s="166" cm="1">
        <f t="array" ref="N12">PRODUCT(1+Renditen!$N$4:N14)-1</f>
        <v>1.9876156349875496E-2</v>
      </c>
      <c r="O12" s="166" cm="1">
        <f t="array" ref="O12">PRODUCT(1+Renditen!$O$4:O14)-1</f>
        <v>4.9437294187526959E-2</v>
      </c>
      <c r="P12" s="166" cm="1">
        <f t="array" ref="P12">PRODUCT(1+Renditen!$P$4:P14)-1</f>
        <v>0.28952519126916032</v>
      </c>
      <c r="Q12" s="166" cm="1">
        <f t="array" ref="Q12">PRODUCT(1+Renditen!$Q$4:Q14)-1</f>
        <v>0.2172210390721121</v>
      </c>
      <c r="R12" s="166" cm="1">
        <f t="array" ref="R12">PRODUCT(1+Renditen!$R$4:R14)-1</f>
        <v>0.11714997540320904</v>
      </c>
      <c r="S12" s="166" cm="1">
        <f t="array" ref="S12">PRODUCT(1+Renditen!$S$4:S14)-1</f>
        <v>0.38990755997383864</v>
      </c>
      <c r="T12" s="166" cm="1">
        <f t="array" ref="T12">PRODUCT(1+Renditen!$T$4:T14)-1</f>
        <v>4.2130332939614101E-2</v>
      </c>
      <c r="U12" s="166" cm="1">
        <f t="array" ref="U12">PRODUCT(1+Renditen!$U$4:U14)-1</f>
        <v>0.2030497591488194</v>
      </c>
    </row>
    <row r="13" spans="1:21" x14ac:dyDescent="0.25">
      <c r="A13" s="165">
        <v>43800</v>
      </c>
      <c r="B13" s="166" cm="1">
        <f t="array" ref="B13">PRODUCT(1+Renditen!$B$4:B15)-1</f>
        <v>-1.3631486715729224E-2</v>
      </c>
      <c r="C13" s="166" cm="1">
        <f t="array" ref="C13">PRODUCT(1+Renditen!$C$4:C15)-1</f>
        <v>3.4235074457208192E-2</v>
      </c>
      <c r="D13" s="166" cm="1">
        <f t="array" ref="D13">PRODUCT(1+Renditen!$D$4:D15)-1</f>
        <v>0.10967048452755201</v>
      </c>
      <c r="E13" s="166" cm="1">
        <f t="array" ref="E13">PRODUCT(1+Renditen!$E$4:E15)-1</f>
        <v>0.30580473098474825</v>
      </c>
      <c r="F13" s="166" cm="1">
        <f t="array" ref="F13">PRODUCT(1+Renditen!$F$4:F15)-1</f>
        <v>0.24080743370438751</v>
      </c>
      <c r="G13" s="166" cm="1">
        <f t="array" ref="G13">PRODUCT(1+Renditen!$G$4:G15)-1</f>
        <v>0.16248283689971177</v>
      </c>
      <c r="H13" s="166" cm="1">
        <f t="array" ref="H13">PRODUCT(1+Renditen!$H$4:H15)-1</f>
        <v>2.1651899397269858E-2</v>
      </c>
      <c r="I13" s="166" cm="1">
        <f t="array" ref="I13">PRODUCT(1+Renditen!$I$4:I15)-1</f>
        <v>5.4754810974178447E-2</v>
      </c>
      <c r="J13" s="166" cm="1">
        <f t="array" ref="J13">PRODUCT(1+Renditen!$J$4:J15)-1</f>
        <v>5.7068335817781257E-2</v>
      </c>
      <c r="L13" s="165">
        <v>43800</v>
      </c>
      <c r="M13" s="166" cm="1">
        <f t="array" ref="M13">PRODUCT(1+Renditen!$M$4:M15)-1</f>
        <v>-8.5528834067064574E-3</v>
      </c>
      <c r="N13" s="166" cm="1">
        <f t="array" ref="N13">PRODUCT(1+Renditen!$N$4:N15)-1</f>
        <v>1.3989756209954907E-2</v>
      </c>
      <c r="O13" s="166" cm="1">
        <f t="array" ref="O13">PRODUCT(1+Renditen!$O$4:O15)-1</f>
        <v>4.0211024856473765E-2</v>
      </c>
      <c r="P13" s="166" cm="1">
        <f t="array" ref="P13">PRODUCT(1+Renditen!$P$4:P15)-1</f>
        <v>0.30594319891901312</v>
      </c>
      <c r="Q13" s="166" cm="1">
        <f t="array" ref="Q13">PRODUCT(1+Renditen!$Q$4:Q15)-1</f>
        <v>0.24194940350391314</v>
      </c>
      <c r="R13" s="166" cm="1">
        <f t="array" ref="R13">PRODUCT(1+Renditen!$R$4:R15)-1</f>
        <v>0.16325593370475344</v>
      </c>
      <c r="S13" s="166" cm="1">
        <f t="array" ref="S13">PRODUCT(1+Renditen!$S$4:S15)-1</f>
        <v>0.40111167806291625</v>
      </c>
      <c r="T13" s="166" cm="1">
        <f t="array" ref="T13">PRODUCT(1+Renditen!$T$4:T15)-1</f>
        <v>5.1823122971057067E-2</v>
      </c>
      <c r="U13" s="166" cm="1">
        <f t="array" ref="U13">PRODUCT(1+Renditen!$U$4:U15)-1</f>
        <v>0.19892226541611069</v>
      </c>
    </row>
    <row r="14" spans="1:21" x14ac:dyDescent="0.25">
      <c r="A14" s="165">
        <v>43831</v>
      </c>
      <c r="B14" s="166" cm="1">
        <f t="array" ref="B14">PRODUCT(1+Renditen!$B$4:B16)-1</f>
        <v>-1.4815128931670363E-2</v>
      </c>
      <c r="C14" s="166" cm="1">
        <f t="array" ref="C14">PRODUCT(1+Renditen!$C$4:C16)-1</f>
        <v>5.7091669602712392E-2</v>
      </c>
      <c r="D14" s="166" cm="1">
        <f t="array" ref="D14">PRODUCT(1+Renditen!$D$4:D16)-1</f>
        <v>0.12344825648045488</v>
      </c>
      <c r="E14" s="166" cm="1">
        <f t="array" ref="E14">PRODUCT(1+Renditen!$E$4:E16)-1</f>
        <v>0.30919982328530859</v>
      </c>
      <c r="F14" s="166" cm="1">
        <f t="array" ref="F14">PRODUCT(1+Renditen!$F$4:F16)-1</f>
        <v>0.23472747727923604</v>
      </c>
      <c r="G14" s="166" cm="1">
        <f t="array" ref="G14">PRODUCT(1+Renditen!$G$4:G16)-1</f>
        <v>0.10005750855819717</v>
      </c>
      <c r="H14" s="166" cm="1">
        <f t="array" ref="H14">PRODUCT(1+Renditen!$H$4:H16)-1</f>
        <v>1.7273503624109621E-2</v>
      </c>
      <c r="I14" s="166" cm="1">
        <f t="array" ref="I14">PRODUCT(1+Renditen!$I$4:I16)-1</f>
        <v>5.8235501850393279E-2</v>
      </c>
      <c r="J14" s="166" cm="1">
        <f t="array" ref="J14">PRODUCT(1+Renditen!$J$4:J16)-1</f>
        <v>6.7379658065163994E-2</v>
      </c>
      <c r="L14" s="165">
        <v>43831</v>
      </c>
      <c r="M14" s="166" cm="1">
        <f t="array" ref="M14">PRODUCT(1+Renditen!$M$4:M16)-1</f>
        <v>-9.2584184909872969E-3</v>
      </c>
      <c r="N14" s="166" cm="1">
        <f t="array" ref="N14">PRODUCT(1+Renditen!$N$4:N16)-1</f>
        <v>2.4004281138026329E-2</v>
      </c>
      <c r="O14" s="166" cm="1">
        <f t="array" ref="O14">PRODUCT(1+Renditen!$O$4:O16)-1</f>
        <v>6.1381517282219633E-2</v>
      </c>
      <c r="P14" s="166" cm="1">
        <f t="array" ref="P14">PRODUCT(1+Renditen!$P$4:P16)-1</f>
        <v>0.30935009573883199</v>
      </c>
      <c r="Q14" s="166" cm="1">
        <f t="array" ref="Q14">PRODUCT(1+Renditen!$Q$4:Q16)-1</f>
        <v>0.2363833029745066</v>
      </c>
      <c r="R14" s="166" cm="1">
        <f t="array" ref="R14">PRODUCT(1+Renditen!$R$4:R16)-1</f>
        <v>0.10456411893082351</v>
      </c>
      <c r="S14" s="166" cm="1">
        <f t="array" ref="S14">PRODUCT(1+Renditen!$S$4:S16)-1</f>
        <v>0.42361450734677941</v>
      </c>
      <c r="T14" s="166" cm="1">
        <f t="array" ref="T14">PRODUCT(1+Renditen!$T$4:T16)-1</f>
        <v>5.5239119881851151E-2</v>
      </c>
      <c r="U14" s="166" cm="1">
        <f t="array" ref="U14">PRODUCT(1+Renditen!$U$4:U16)-1</f>
        <v>0.21256592514455108</v>
      </c>
    </row>
    <row r="15" spans="1:21" x14ac:dyDescent="0.25">
      <c r="A15" s="165">
        <v>43862</v>
      </c>
      <c r="B15" s="166" cm="1">
        <f t="array" ref="B15">PRODUCT(1+Renditen!$B$4:B17)-1</f>
        <v>-1.6391424725379689E-2</v>
      </c>
      <c r="C15" s="166" cm="1">
        <f t="array" ref="C15">PRODUCT(1+Renditen!$C$4:C17)-1</f>
        <v>6.6182657961295632E-2</v>
      </c>
      <c r="D15" s="166" cm="1">
        <f t="array" ref="D15">PRODUCT(1+Renditen!$D$4:D17)-1</f>
        <v>0.11171815261702811</v>
      </c>
      <c r="E15" s="166" cm="1">
        <f t="array" ref="E15">PRODUCT(1+Renditen!$E$4:E17)-1</f>
        <v>0.21048615660959635</v>
      </c>
      <c r="F15" s="166" cm="1">
        <f t="array" ref="F15">PRODUCT(1+Renditen!$F$4:F17)-1</f>
        <v>0.13273898765597103</v>
      </c>
      <c r="G15" s="166" cm="1">
        <f t="array" ref="G15">PRODUCT(1+Renditen!$G$4:G17)-1</f>
        <v>4.8574817157673644E-2</v>
      </c>
      <c r="H15" s="166" cm="1">
        <f t="array" ref="H15">PRODUCT(1+Renditen!$H$4:H17)-1</f>
        <v>1.9545724988561552E-2</v>
      </c>
      <c r="I15" s="166" cm="1">
        <f t="array" ref="I15">PRODUCT(1+Renditen!$I$4:I17)-1</f>
        <v>6.1833502556684738E-2</v>
      </c>
      <c r="J15" s="166" cm="1">
        <f t="array" ref="J15">PRODUCT(1+Renditen!$J$4:J17)-1</f>
        <v>0.10473433607711558</v>
      </c>
      <c r="L15" s="165">
        <v>43862</v>
      </c>
      <c r="M15" s="166" cm="1">
        <f t="array" ref="M15">PRODUCT(1+Renditen!$M$4:M17)-1</f>
        <v>-9.9060235618575465E-3</v>
      </c>
      <c r="N15" s="166" cm="1">
        <f t="array" ref="N15">PRODUCT(1+Renditen!$N$4:N17)-1</f>
        <v>2.7673725419970596E-2</v>
      </c>
      <c r="O15" s="166" cm="1">
        <f t="array" ref="O15">PRODUCT(1+Renditen!$O$4:O17)-1</f>
        <v>7.6218418053165093E-2</v>
      </c>
      <c r="P15" s="166" cm="1">
        <f t="array" ref="P15">PRODUCT(1+Renditen!$P$4:P17)-1</f>
        <v>0.21034357895315448</v>
      </c>
      <c r="Q15" s="166" cm="1">
        <f t="array" ref="Q15">PRODUCT(1+Renditen!$Q$4:Q17)-1</f>
        <v>0.1341969855848848</v>
      </c>
      <c r="R15" s="166" cm="1">
        <f t="array" ref="R15">PRODUCT(1+Renditen!$R$4:R17)-1</f>
        <v>5.0113680321160592E-2</v>
      </c>
      <c r="S15" s="166" cm="1">
        <f t="array" ref="S15">PRODUCT(1+Renditen!$S$4:S17)-1</f>
        <v>0.28020599497529752</v>
      </c>
      <c r="T15" s="166" cm="1">
        <f t="array" ref="T15">PRODUCT(1+Renditen!$T$4:T17)-1</f>
        <v>5.8646149006859716E-2</v>
      </c>
      <c r="U15" s="166" cm="1">
        <f t="array" ref="U15">PRODUCT(1+Renditen!$U$4:U17)-1</f>
        <v>0.11665902305584819</v>
      </c>
    </row>
    <row r="16" spans="1:21" x14ac:dyDescent="0.25">
      <c r="A16" s="165">
        <v>43891</v>
      </c>
      <c r="B16" s="166" cm="1">
        <f t="array" ref="B16">PRODUCT(1+Renditen!$B$4:B18)-1</f>
        <v>-1.2161907851698905E-2</v>
      </c>
      <c r="C16" s="166" cm="1">
        <f t="array" ref="C16">PRODUCT(1+Renditen!$C$4:C18)-1</f>
        <v>1.3833089455395964E-2</v>
      </c>
      <c r="D16" s="166" cm="1">
        <f t="array" ref="D16">PRODUCT(1+Renditen!$D$4:D18)-1</f>
        <v>-3.7878002074885009E-2</v>
      </c>
      <c r="E16" s="166" cm="1">
        <f t="array" ref="E16">PRODUCT(1+Renditen!$E$4:E18)-1</f>
        <v>0.15214072386101374</v>
      </c>
      <c r="F16" s="166" cm="1">
        <f t="array" ref="F16">PRODUCT(1+Renditen!$F$4:F18)-1</f>
        <v>-1.610291532202357E-2</v>
      </c>
      <c r="G16" s="166" cm="1">
        <f t="array" ref="G16">PRODUCT(1+Renditen!$G$4:G18)-1</f>
        <v>-0.11206684483088192</v>
      </c>
      <c r="H16" s="166" cm="1">
        <f t="array" ref="H16">PRODUCT(1+Renditen!$H$4:H18)-1</f>
        <v>7.4061559087028384E-2</v>
      </c>
      <c r="I16" s="166" cm="1">
        <f t="array" ref="I16">PRODUCT(1+Renditen!$I$4:I18)-1</f>
        <v>6.5443736465377489E-2</v>
      </c>
      <c r="J16" s="166" cm="1">
        <f t="array" ref="J16">PRODUCT(1+Renditen!$J$4:J18)-1</f>
        <v>6.1038687501590472E-2</v>
      </c>
      <c r="L16" s="165">
        <v>43891</v>
      </c>
      <c r="M16" s="166" cm="1">
        <f t="array" ref="M16">PRODUCT(1+Renditen!$M$4:M18)-1</f>
        <v>-1.0627986525188704E-2</v>
      </c>
      <c r="N16" s="166" cm="1">
        <f t="array" ref="N16">PRODUCT(1+Renditen!$N$4:N18)-1</f>
        <v>-1.3301735210077714E-2</v>
      </c>
      <c r="O16" s="166" cm="1">
        <f t="array" ref="O16">PRODUCT(1+Renditen!$O$4:O18)-1</f>
        <v>7.4598192103423333E-2</v>
      </c>
      <c r="P16" s="166" cm="1">
        <f t="array" ref="P16">PRODUCT(1+Renditen!$P$4:P18)-1</f>
        <v>0.15152298168834677</v>
      </c>
      <c r="Q16" s="166" cm="1">
        <f t="array" ref="Q16">PRODUCT(1+Renditen!$Q$4:Q18)-1</f>
        <v>-1.4864933773594657E-2</v>
      </c>
      <c r="R16" s="166" cm="1">
        <f t="array" ref="R16">PRODUCT(1+Renditen!$R$4:R18)-1</f>
        <v>-0.11199351176878081</v>
      </c>
      <c r="S16" s="166" cm="1">
        <f t="array" ref="S16">PRODUCT(1+Renditen!$S$4:S18)-1</f>
        <v>-4.8937665007088849E-2</v>
      </c>
      <c r="T16" s="166" cm="1">
        <f t="array" ref="T16">PRODUCT(1+Renditen!$T$4:T18)-1</f>
        <v>6.4256817446289194E-2</v>
      </c>
      <c r="U16" s="166" cm="1">
        <f t="array" ref="U16">PRODUCT(1+Renditen!$U$4:U18)-1</f>
        <v>-0.13099059853479289</v>
      </c>
    </row>
    <row r="17" spans="1:21" x14ac:dyDescent="0.25">
      <c r="A17" s="165">
        <v>43922</v>
      </c>
      <c r="B17" s="166" cm="1">
        <f t="array" ref="B17">PRODUCT(1+Renditen!$B$4:B19)-1</f>
        <v>-1.2557043088558206E-2</v>
      </c>
      <c r="C17" s="166" cm="1">
        <f t="array" ref="C17">PRODUCT(1+Renditen!$C$4:C19)-1</f>
        <v>3.1676551829810995E-2</v>
      </c>
      <c r="D17" s="166" cm="1">
        <f t="array" ref="D17">PRODUCT(1+Renditen!$D$4:D19)-1</f>
        <v>-1.5237567303014066E-2</v>
      </c>
      <c r="E17" s="166" cm="1">
        <f t="array" ref="E17">PRODUCT(1+Renditen!$E$4:E19)-1</f>
        <v>0.21193682742940045</v>
      </c>
      <c r="F17" s="166" cm="1">
        <f t="array" ref="F17">PRODUCT(1+Renditen!$F$4:F19)-1</f>
        <v>8.7304668277631725E-2</v>
      </c>
      <c r="G17" s="166" cm="1">
        <f t="array" ref="G17">PRODUCT(1+Renditen!$G$4:G19)-1</f>
        <v>-3.3484760598414987E-2</v>
      </c>
      <c r="H17" s="166" cm="1">
        <f t="array" ref="H17">PRODUCT(1+Renditen!$H$4:H19)-1</f>
        <v>7.0880449208940544E-2</v>
      </c>
      <c r="I17" s="166" cm="1">
        <f t="array" ref="I17">PRODUCT(1+Renditen!$I$4:I19)-1</f>
        <v>6.9066245169359775E-2</v>
      </c>
      <c r="J17" s="166" cm="1">
        <f t="array" ref="J17">PRODUCT(1+Renditen!$J$4:J19)-1</f>
        <v>3.2410116019791158E-2</v>
      </c>
      <c r="L17" s="165">
        <v>43922</v>
      </c>
      <c r="M17" s="166" cm="1">
        <f t="array" ref="M17">PRODUCT(1+Renditen!$M$4:M19)-1</f>
        <v>-1.1268674654640543E-2</v>
      </c>
      <c r="N17" s="166" cm="1">
        <f t="array" ref="N17">PRODUCT(1+Renditen!$N$4:N19)-1</f>
        <v>-1.0702543959210109E-3</v>
      </c>
      <c r="O17" s="166" cm="1">
        <f t="array" ref="O17">PRODUCT(1+Renditen!$O$4:O19)-1</f>
        <v>8.2558914910858316E-2</v>
      </c>
      <c r="P17" s="166" cm="1">
        <f t="array" ref="P17">PRODUCT(1+Renditen!$P$4:P19)-1</f>
        <v>0.21116758202578256</v>
      </c>
      <c r="Q17" s="166" cm="1">
        <f t="array" ref="Q17">PRODUCT(1+Renditen!$Q$4:Q19)-1</f>
        <v>8.9352086101579964E-2</v>
      </c>
      <c r="R17" s="166" cm="1">
        <f t="array" ref="R17">PRODUCT(1+Renditen!$R$4:R19)-1</f>
        <v>-3.3080999808662304E-2</v>
      </c>
      <c r="S17" s="166" cm="1">
        <f t="array" ref="S17">PRODUCT(1+Renditen!$S$4:S19)-1</f>
        <v>6.7814975586707682E-2</v>
      </c>
      <c r="T17" s="166" cm="1">
        <f t="array" ref="T17">PRODUCT(1+Renditen!$T$4:T19)-1</f>
        <v>6.8255783297277217E-2</v>
      </c>
      <c r="U17" s="166" cm="1">
        <f t="array" ref="U17">PRODUCT(1+Renditen!$U$4:U19)-1</f>
        <v>-7.4868149596860722E-2</v>
      </c>
    </row>
    <row r="18" spans="1:21" x14ac:dyDescent="0.25">
      <c r="A18" s="165">
        <v>43952</v>
      </c>
      <c r="B18" s="166" cm="1">
        <f t="array" ref="B18">PRODUCT(1+Renditen!$B$4:B20)-1</f>
        <v>-1.5519371959292538E-2</v>
      </c>
      <c r="C18" s="166" cm="1">
        <f t="array" ref="C18">PRODUCT(1+Renditen!$C$4:C20)-1</f>
        <v>3.1367048864262115E-2</v>
      </c>
      <c r="D18" s="166" cm="1">
        <f t="array" ref="D18">PRODUCT(1+Renditen!$D$4:D20)-1</f>
        <v>3.9844063833823995E-2</v>
      </c>
      <c r="E18" s="166" cm="1">
        <f t="array" ref="E18">PRODUCT(1+Renditen!$E$4:E20)-1</f>
        <v>0.24647702701113827</v>
      </c>
      <c r="F18" s="166" cm="1">
        <f t="array" ref="F18">PRODUCT(1+Renditen!$F$4:F20)-1</f>
        <v>0.13862544862033577</v>
      </c>
      <c r="G18" s="166" cm="1">
        <f t="array" ref="G18">PRODUCT(1+Renditen!$G$4:G20)-1</f>
        <v>-3.0005305736569232E-2</v>
      </c>
      <c r="H18" s="166" cm="1">
        <f t="array" ref="H18">PRODUCT(1+Renditen!$H$4:H20)-1</f>
        <v>6.5960216058091437E-2</v>
      </c>
      <c r="I18" s="166" cm="1">
        <f t="array" ref="I18">PRODUCT(1+Renditen!$I$4:I20)-1</f>
        <v>7.2701070402935608E-2</v>
      </c>
      <c r="J18" s="166" cm="1">
        <f t="array" ref="J18">PRODUCT(1+Renditen!$J$4:J20)-1</f>
        <v>5.2641334839955478E-2</v>
      </c>
      <c r="L18" s="165">
        <v>43952</v>
      </c>
      <c r="M18" s="166" cm="1">
        <f t="array" ref="M18">PRODUCT(1+Renditen!$M$4:M20)-1</f>
        <v>-1.1828087863603232E-2</v>
      </c>
      <c r="N18" s="166" cm="1">
        <f t="array" ref="N18">PRODUCT(1+Renditen!$N$4:N20)-1</f>
        <v>1.1467014552133392E-3</v>
      </c>
      <c r="O18" s="166" cm="1">
        <f t="array" ref="O18">PRODUCT(1+Renditen!$O$4:O20)-1</f>
        <v>8.0205684715604741E-2</v>
      </c>
      <c r="P18" s="166" cm="1">
        <f t="array" ref="P18">PRODUCT(1+Renditen!$P$4:P20)-1</f>
        <v>0.24577571257744291</v>
      </c>
      <c r="Q18" s="166" cm="1">
        <f t="array" ref="Q18">PRODUCT(1+Renditen!$Q$4:Q20)-1</f>
        <v>0.14070265407823634</v>
      </c>
      <c r="R18" s="166" cm="1">
        <f t="array" ref="R18">PRODUCT(1+Renditen!$R$4:R20)-1</f>
        <v>-3.0145152350652404E-2</v>
      </c>
      <c r="S18" s="166" cm="1">
        <f t="array" ref="S18">PRODUCT(1+Renditen!$S$4:S20)-1</f>
        <v>0.15364101781422934</v>
      </c>
      <c r="T18" s="166" cm="1">
        <f t="array" ref="T18">PRODUCT(1+Renditen!$T$4:T20)-1</f>
        <v>7.276471993082434E-2</v>
      </c>
      <c r="U18" s="166" cm="1">
        <f t="array" ref="U18">PRODUCT(1+Renditen!$U$4:U20)-1</f>
        <v>-7.3721623610718989E-2</v>
      </c>
    </row>
    <row r="19" spans="1:21" x14ac:dyDescent="0.25">
      <c r="A19" s="165">
        <v>43983</v>
      </c>
      <c r="B19" s="166" cm="1">
        <f t="array" ref="B19">PRODUCT(1+Renditen!$B$4:B21)-1</f>
        <v>-1.7783677403786169E-2</v>
      </c>
      <c r="C19" s="166" cm="1">
        <f t="array" ref="C19">PRODUCT(1+Renditen!$C$4:C21)-1</f>
        <v>3.1779595683807838E-2</v>
      </c>
      <c r="D19" s="166" cm="1">
        <f t="array" ref="D19">PRODUCT(1+Renditen!$D$4:D21)-1</f>
        <v>7.1673118915281497E-2</v>
      </c>
      <c r="E19" s="166" cm="1">
        <f t="array" ref="E19">PRODUCT(1+Renditen!$E$4:E21)-1</f>
        <v>0.26592206863251211</v>
      </c>
      <c r="F19" s="166" cm="1">
        <f t="array" ref="F19">PRODUCT(1+Renditen!$F$4:F21)-1</f>
        <v>0.16481383393860338</v>
      </c>
      <c r="G19" s="166" cm="1">
        <f t="array" ref="G19">PRODUCT(1+Renditen!$G$4:G21)-1</f>
        <v>2.722438122497306E-2</v>
      </c>
      <c r="H19" s="166" cm="1">
        <f t="array" ref="H19">PRODUCT(1+Renditen!$H$4:H21)-1</f>
        <v>-3.8264829999455796E-2</v>
      </c>
      <c r="I19" s="166" cm="1">
        <f t="array" ref="I19">PRODUCT(1+Renditen!$I$4:I21)-1</f>
        <v>7.6348254042305719E-2</v>
      </c>
      <c r="J19" s="166" cm="1">
        <f t="array" ref="J19">PRODUCT(1+Renditen!$J$4:J21)-1</f>
        <v>3.7312991159637265E-2</v>
      </c>
      <c r="L19" s="165">
        <v>43983</v>
      </c>
      <c r="M19" s="166" cm="1">
        <f t="array" ref="M19">PRODUCT(1+Renditen!$M$4:M21)-1</f>
        <v>-1.2320060218768636E-2</v>
      </c>
      <c r="N19" s="166" cm="1">
        <f t="array" ref="N19">PRODUCT(1+Renditen!$N$4:N21)-1</f>
        <v>4.0516781808028757E-3</v>
      </c>
      <c r="O19" s="166" cm="1">
        <f t="array" ref="O19">PRODUCT(1+Renditen!$O$4:O21)-1</f>
        <v>8.2504091281052627E-2</v>
      </c>
      <c r="P19" s="166" cm="1">
        <f t="array" ref="P19">PRODUCT(1+Renditen!$P$4:P21)-1</f>
        <v>0.26510214603276072</v>
      </c>
      <c r="Q19" s="166" cm="1">
        <f t="array" ref="Q19">PRODUCT(1+Renditen!$Q$4:Q21)-1</f>
        <v>0.16672532817158459</v>
      </c>
      <c r="R19" s="166" cm="1">
        <f t="array" ref="R19">PRODUCT(1+Renditen!$R$4:R21)-1</f>
        <v>2.6896753441868926E-2</v>
      </c>
      <c r="S19" s="166" cm="1">
        <f t="array" ref="S19">PRODUCT(1+Renditen!$S$4:S21)-1</f>
        <v>0.17505242748082162</v>
      </c>
      <c r="T19" s="166" cm="1">
        <f t="array" ref="T19">PRODUCT(1+Renditen!$T$4:T21)-1</f>
        <v>7.6271922395594327E-2</v>
      </c>
      <c r="U19" s="166" cm="1">
        <f t="array" ref="U19">PRODUCT(1+Renditen!$U$4:U21)-1</f>
        <v>-5.2797523622526765E-2</v>
      </c>
    </row>
    <row r="20" spans="1:21" x14ac:dyDescent="0.25">
      <c r="A20" s="165">
        <v>44013</v>
      </c>
      <c r="B20" s="166" cm="1">
        <f t="array" ref="B20">PRODUCT(1+Renditen!$B$4:B22)-1</f>
        <v>-2.6427181042632863E-2</v>
      </c>
      <c r="C20" s="166" cm="1">
        <f t="array" ref="C20">PRODUCT(1+Renditen!$C$4:C22)-1</f>
        <v>4.2200569600214344E-2</v>
      </c>
      <c r="D20" s="166" cm="1">
        <f t="array" ref="D20">PRODUCT(1+Renditen!$D$4:D22)-1</f>
        <v>0.10800691757720449</v>
      </c>
      <c r="E20" s="166" cm="1">
        <f t="array" ref="E20">PRODUCT(1+Renditen!$E$4:E22)-1</f>
        <v>0.2631370400815205</v>
      </c>
      <c r="F20" s="166" cm="1">
        <f t="array" ref="F20">PRODUCT(1+Renditen!$F$4:F22)-1</f>
        <v>0.20301972769178955</v>
      </c>
      <c r="G20" s="166" cm="1">
        <f t="array" ref="G20">PRODUCT(1+Renditen!$G$4:G22)-1</f>
        <v>7.5093037390056683E-2</v>
      </c>
      <c r="H20" s="166" cm="1">
        <f t="array" ref="H20">PRODUCT(1+Renditen!$H$4:H22)-1</f>
        <v>-7.61060553336389E-2</v>
      </c>
      <c r="I20" s="166" cm="1">
        <f t="array" ref="I20">PRODUCT(1+Renditen!$I$4:I22)-1</f>
        <v>8.0007838106049611E-2</v>
      </c>
      <c r="J20" s="166" cm="1">
        <f t="array" ref="J20">PRODUCT(1+Renditen!$J$4:J22)-1</f>
        <v>2.7152544447705429E-2</v>
      </c>
      <c r="L20" s="165">
        <v>44013</v>
      </c>
      <c r="M20" s="166" cm="1">
        <f t="array" ref="M20">PRODUCT(1+Renditen!$M$4:M22)-1</f>
        <v>-1.2881202675115833E-2</v>
      </c>
      <c r="N20" s="166" cm="1">
        <f t="array" ref="N20">PRODUCT(1+Renditen!$N$4:N22)-1</f>
        <v>9.4793978115912392E-3</v>
      </c>
      <c r="O20" s="166" cm="1">
        <f t="array" ref="O20">PRODUCT(1+Renditen!$O$4:O22)-1</f>
        <v>9.1879765409289105E-2</v>
      </c>
      <c r="P20" s="166" cm="1">
        <f t="array" ref="P20">PRODUCT(1+Renditen!$P$4:P22)-1</f>
        <v>0.26218863375489776</v>
      </c>
      <c r="Q20" s="166" cm="1">
        <f t="array" ref="Q20">PRODUCT(1+Renditen!$Q$4:Q22)-1</f>
        <v>0.20481191176785085</v>
      </c>
      <c r="R20" s="166" cm="1">
        <f t="array" ref="R20">PRODUCT(1+Renditen!$R$4:R22)-1</f>
        <v>7.3975786317874048E-2</v>
      </c>
      <c r="S20" s="166" cm="1">
        <f t="array" ref="S20">PRODUCT(1+Renditen!$S$4:S22)-1</f>
        <v>0.16986126194835283</v>
      </c>
      <c r="T20" s="166" cm="1">
        <f t="array" ref="T20">PRODUCT(1+Renditen!$T$4:T22)-1</f>
        <v>7.9964645479153384E-2</v>
      </c>
      <c r="U20" s="166" cm="1">
        <f t="array" ref="U20">PRODUCT(1+Renditen!$U$4:U22)-1</f>
        <v>-4.1160284455589502E-2</v>
      </c>
    </row>
    <row r="21" spans="1:21" x14ac:dyDescent="0.25">
      <c r="A21" s="165">
        <v>44044</v>
      </c>
      <c r="B21" s="166" cm="1">
        <f t="array" ref="B21">PRODUCT(1+Renditen!$B$4:B23)-1</f>
        <v>-2.7498111143485993E-2</v>
      </c>
      <c r="C21" s="166" cm="1">
        <f t="array" ref="C21">PRODUCT(1+Renditen!$C$4:C23)-1</f>
        <v>3.1674343847252207E-2</v>
      </c>
      <c r="D21" s="166" cm="1">
        <f t="array" ref="D21">PRODUCT(1+Renditen!$D$4:D23)-1</f>
        <v>0.1135808455398124</v>
      </c>
      <c r="E21" s="166" cm="1">
        <f t="array" ref="E21">PRODUCT(1+Renditen!$E$4:E23)-1</f>
        <v>0.28814715347513475</v>
      </c>
      <c r="F21" s="166" cm="1">
        <f t="array" ref="F21">PRODUCT(1+Renditen!$F$4:F23)-1</f>
        <v>0.27844906461806462</v>
      </c>
      <c r="G21" s="166" cm="1">
        <f t="array" ref="G21">PRODUCT(1+Renditen!$G$4:G23)-1</f>
        <v>8.8209172446215289E-2</v>
      </c>
      <c r="H21" s="166" cm="1">
        <f t="array" ref="H21">PRODUCT(1+Renditen!$H$4:H23)-1</f>
        <v>-8.5972739787201546E-2</v>
      </c>
      <c r="I21" s="166" cm="1">
        <f t="array" ref="I21">PRODUCT(1+Renditen!$I$4:I23)-1</f>
        <v>8.3679864755610289E-2</v>
      </c>
      <c r="J21" s="166" cm="1">
        <f t="array" ref="J21">PRODUCT(1+Renditen!$J$4:J23)-1</f>
        <v>3.4878493383524445E-2</v>
      </c>
      <c r="L21" s="165">
        <v>44044</v>
      </c>
      <c r="M21" s="166" cm="1">
        <f t="array" ref="M21">PRODUCT(1+Renditen!$M$4:M23)-1</f>
        <v>-1.3521890748553256E-2</v>
      </c>
      <c r="N21" s="166" cm="1">
        <f t="array" ref="N21">PRODUCT(1+Renditen!$N$4:N23)-1</f>
        <v>6.9566548902602054E-3</v>
      </c>
      <c r="O21" s="166" cm="1">
        <f t="array" ref="O21">PRODUCT(1+Renditen!$O$4:O23)-1</f>
        <v>7.9898086569348603E-2</v>
      </c>
      <c r="P21" s="166" cm="1">
        <f t="array" ref="P21">PRODUCT(1+Renditen!$P$4:P23)-1</f>
        <v>0.28776935248209345</v>
      </c>
      <c r="Q21" s="166" cm="1">
        <f t="array" ref="Q21">PRODUCT(1+Renditen!$Q$4:Q23)-1</f>
        <v>0.28060610805601449</v>
      </c>
      <c r="R21" s="166" cm="1">
        <f t="array" ref="R21">PRODUCT(1+Renditen!$R$4:R23)-1</f>
        <v>8.6554827380075139E-2</v>
      </c>
      <c r="S21" s="166" cm="1">
        <f t="array" ref="S21">PRODUCT(1+Renditen!$S$4:S23)-1</f>
        <v>0.1976165574251072</v>
      </c>
      <c r="T21" s="166" cm="1">
        <f t="array" ref="T21">PRODUCT(1+Renditen!$T$4:T23)-1</f>
        <v>8.390167387368197E-2</v>
      </c>
      <c r="U21" s="166" cm="1">
        <f t="array" ref="U21">PRODUCT(1+Renditen!$U$4:U23)-1</f>
        <v>-2.1612015695033238E-2</v>
      </c>
    </row>
    <row r="22" spans="1:21" x14ac:dyDescent="0.25">
      <c r="A22" s="165">
        <v>44075</v>
      </c>
      <c r="B22" s="166" cm="1">
        <f t="array" ref="B22">PRODUCT(1+Renditen!$B$4:B24)-1</f>
        <v>-2.7498111143485993E-2</v>
      </c>
      <c r="C22" s="166" cm="1">
        <f t="array" ref="C22">PRODUCT(1+Renditen!$C$4:C24)-1</f>
        <v>4.0856245507492561E-2</v>
      </c>
      <c r="D22" s="166" cm="1">
        <f t="array" ref="D22">PRODUCT(1+Renditen!$D$4:D24)-1</f>
        <v>9.0624926071571466E-2</v>
      </c>
      <c r="E22" s="166" cm="1">
        <f t="array" ref="E22">PRODUCT(1+Renditen!$E$4:E24)-1</f>
        <v>0.29497433338855306</v>
      </c>
      <c r="F22" s="166" cm="1">
        <f t="array" ref="F22">PRODUCT(1+Renditen!$F$4:F24)-1</f>
        <v>0.2385614538019809</v>
      </c>
      <c r="G22" s="166" cm="1">
        <f t="array" ref="G22">PRODUCT(1+Renditen!$G$4:G24)-1</f>
        <v>9.2562009136000212E-2</v>
      </c>
      <c r="H22" s="166" cm="1">
        <f t="array" ref="H22">PRODUCT(1+Renditen!$H$4:H24)-1</f>
        <v>-2.4948226975103349E-3</v>
      </c>
      <c r="I22" s="166" cm="1">
        <f t="array" ref="I22">PRODUCT(1+Renditen!$I$4:I24)-1</f>
        <v>8.7364376295779422E-2</v>
      </c>
      <c r="J22" s="166" cm="1">
        <f t="array" ref="J22">PRODUCT(1+Renditen!$J$4:J24)-1</f>
        <v>3.5181631316532513E-2</v>
      </c>
      <c r="L22" s="165">
        <v>44075</v>
      </c>
      <c r="M22" s="166" cm="1">
        <f t="array" ref="M22">PRODUCT(1+Renditen!$M$4:M24)-1</f>
        <v>-1.4160849587338875E-2</v>
      </c>
      <c r="N22" s="166" cm="1">
        <f t="array" ref="N22">PRODUCT(1+Renditen!$N$4:N24)-1</f>
        <v>1.1314119948018453E-2</v>
      </c>
      <c r="O22" s="166" cm="1">
        <f t="array" ref="O22">PRODUCT(1+Renditen!$O$4:O24)-1</f>
        <v>8.721013310016934E-2</v>
      </c>
      <c r="P22" s="166" cm="1">
        <f t="array" ref="P22">PRODUCT(1+Renditen!$P$4:P24)-1</f>
        <v>0.29446310610509641</v>
      </c>
      <c r="Q22" s="166" cm="1">
        <f t="array" ref="Q22">PRODUCT(1+Renditen!$Q$4:Q24)-1</f>
        <v>0.24062466947301719</v>
      </c>
      <c r="R22" s="166" cm="1">
        <f t="array" ref="R22">PRODUCT(1+Renditen!$R$4:R24)-1</f>
        <v>9.0854623525940204E-2</v>
      </c>
      <c r="S22" s="166" cm="1">
        <f t="array" ref="S22">PRODUCT(1+Renditen!$S$4:S24)-1</f>
        <v>0.17705866753238175</v>
      </c>
      <c r="T22" s="166" cm="1">
        <f t="array" ref="T22">PRODUCT(1+Renditen!$T$4:T24)-1</f>
        <v>8.9298794687537209E-2</v>
      </c>
      <c r="U22" s="166" cm="1">
        <f t="array" ref="U22">PRODUCT(1+Renditen!$U$4:U24)-1</f>
        <v>-4.620499894530572E-2</v>
      </c>
    </row>
    <row r="23" spans="1:21" x14ac:dyDescent="0.25">
      <c r="A23" s="165">
        <v>44105</v>
      </c>
      <c r="B23" s="166" cm="1">
        <f t="array" ref="B23">PRODUCT(1+Renditen!$B$4:B25)-1</f>
        <v>-2.8470613032342551E-2</v>
      </c>
      <c r="C23" s="166" cm="1">
        <f t="array" ref="C23">PRODUCT(1+Renditen!$C$4:C25)-1</f>
        <v>4.2001187377550986E-2</v>
      </c>
      <c r="D23" s="166" cm="1">
        <f t="array" ref="D23">PRODUCT(1+Renditen!$D$4:D25)-1</f>
        <v>9.0663585163236471E-2</v>
      </c>
      <c r="E23" s="166" cm="1">
        <f t="array" ref="E23">PRODUCT(1+Renditen!$E$4:E25)-1</f>
        <v>0.22064280665205005</v>
      </c>
      <c r="F23" s="166" cm="1">
        <f t="array" ref="F23">PRODUCT(1+Renditen!$F$4:F25)-1</f>
        <v>0.20140461018792144</v>
      </c>
      <c r="G23" s="166" cm="1">
        <f t="array" ref="G23">PRODUCT(1+Renditen!$G$4:G25)-1</f>
        <v>0.11233738150136174</v>
      </c>
      <c r="H23" s="166" cm="1">
        <f t="array" ref="H23">PRODUCT(1+Renditen!$H$4:H25)-1</f>
        <v>-5.2040097516218298E-3</v>
      </c>
      <c r="I23" s="166" cm="1">
        <f t="array" ref="I23">PRODUCT(1+Renditen!$I$4:I25)-1</f>
        <v>9.1061415175185179E-2</v>
      </c>
      <c r="J23" s="166" cm="1">
        <f t="array" ref="J23">PRODUCT(1+Renditen!$J$4:J25)-1</f>
        <v>2.2703823828319925E-2</v>
      </c>
      <c r="L23" s="165">
        <v>44105</v>
      </c>
      <c r="M23" s="166" cm="1">
        <f t="array" ref="M23">PRODUCT(1+Renditen!$M$4:M25)-1</f>
        <v>-1.4832664266806961E-2</v>
      </c>
      <c r="N23" s="166" cm="1">
        <f t="array" ref="N23">PRODUCT(1+Renditen!$N$4:N25)-1</f>
        <v>1.2843055075111076E-2</v>
      </c>
      <c r="O23" s="166" cm="1">
        <f t="array" ref="O23">PRODUCT(1+Renditen!$O$4:O25)-1</f>
        <v>8.5587396089250145E-2</v>
      </c>
      <c r="P23" s="166" cm="1">
        <f t="array" ref="P23">PRODUCT(1+Renditen!$P$4:P25)-1</f>
        <v>0.22017871724562776</v>
      </c>
      <c r="Q23" s="166" cm="1">
        <f t="array" ref="Q23">PRODUCT(1+Renditen!$Q$4:Q25)-1</f>
        <v>0.2030433805251044</v>
      </c>
      <c r="R23" s="166" cm="1">
        <f t="array" ref="R23">PRODUCT(1+Renditen!$R$4:R25)-1</f>
        <v>0.11066360895401517</v>
      </c>
      <c r="S23" s="166" cm="1">
        <f t="array" ref="S23">PRODUCT(1+Renditen!$S$4:S25)-1</f>
        <v>0.13168063056962387</v>
      </c>
      <c r="T23" s="166" cm="1">
        <f t="array" ref="T23">PRODUCT(1+Renditen!$T$4:T25)-1</f>
        <v>9.2446885850824723E-2</v>
      </c>
      <c r="U23" s="166" cm="1">
        <f t="array" ref="U23">PRODUCT(1+Renditen!$U$4:U25)-1</f>
        <v>-7.8135748732027333E-2</v>
      </c>
    </row>
    <row r="24" spans="1:21" x14ac:dyDescent="0.25">
      <c r="A24" s="165">
        <v>44136</v>
      </c>
      <c r="B24" s="166" cm="1">
        <f t="array" ref="B24">PRODUCT(1+Renditen!$B$4:B26)-1</f>
        <v>-3.1773812948032498E-2</v>
      </c>
      <c r="C24" s="166" cm="1">
        <f t="array" ref="C24">PRODUCT(1+Renditen!$C$4:C26)-1</f>
        <v>4.2209587615026578E-2</v>
      </c>
      <c r="D24" s="166" cm="1">
        <f t="array" ref="D24">PRODUCT(1+Renditen!$D$4:D26)-1</f>
        <v>0.13130852111805802</v>
      </c>
      <c r="E24" s="166" cm="1">
        <f t="array" ref="E24">PRODUCT(1+Renditen!$E$4:E26)-1</f>
        <v>0.32354299525281793</v>
      </c>
      <c r="F24" s="166" cm="1">
        <f t="array" ref="F24">PRODUCT(1+Renditen!$F$4:F26)-1</f>
        <v>0.34545302294945301</v>
      </c>
      <c r="G24" s="166" cm="1">
        <f t="array" ref="G24">PRODUCT(1+Renditen!$G$4:G26)-1</f>
        <v>0.20021203463996917</v>
      </c>
      <c r="H24" s="166" cm="1">
        <f t="array" ref="H24">PRODUCT(1+Renditen!$H$4:H26)-1</f>
        <v>-1.7369133353882793E-2</v>
      </c>
      <c r="I24" s="166" cm="1">
        <f t="array" ref="I24">PRODUCT(1+Renditen!$I$4:I26)-1</f>
        <v>9.4771023986780945E-2</v>
      </c>
      <c r="J24" s="166" cm="1">
        <f t="array" ref="J24">PRODUCT(1+Renditen!$J$4:J26)-1</f>
        <v>2.0116465761844227E-2</v>
      </c>
      <c r="L24" s="165">
        <v>44136</v>
      </c>
      <c r="M24" s="166" cm="1">
        <f t="array" ref="M24">PRODUCT(1+Renditen!$M$4:M26)-1</f>
        <v>-1.5481134016225417E-2</v>
      </c>
      <c r="N24" s="166" cm="1">
        <f t="array" ref="N24">PRODUCT(1+Renditen!$N$4:N26)-1</f>
        <v>1.3607522577878006E-2</v>
      </c>
      <c r="O24" s="166" cm="1">
        <f t="array" ref="O24">PRODUCT(1+Renditen!$O$4:O26)-1</f>
        <v>8.6664617188953796E-2</v>
      </c>
      <c r="P24" s="166" cm="1">
        <f t="array" ref="P24">PRODUCT(1+Renditen!$P$4:P26)-1</f>
        <v>0.32282102056170192</v>
      </c>
      <c r="Q24" s="166" cm="1">
        <f t="array" ref="Q24">PRODUCT(1+Renditen!$Q$4:Q26)-1</f>
        <v>0.34717867713922956</v>
      </c>
      <c r="R24" s="166" cm="1">
        <f t="array" ref="R24">PRODUCT(1+Renditen!$R$4:R26)-1</f>
        <v>0.19849231618597662</v>
      </c>
      <c r="S24" s="166" cm="1">
        <f t="array" ref="S24">PRODUCT(1+Renditen!$S$4:S26)-1</f>
        <v>0.32304640301589882</v>
      </c>
      <c r="T24" s="166" cm="1">
        <f t="array" ref="T24">PRODUCT(1+Renditen!$T$4:T26)-1</f>
        <v>9.6301401265717068E-2</v>
      </c>
      <c r="U24" s="166" cm="1">
        <f t="array" ref="U24">PRODUCT(1+Renditen!$U$4:U26)-1</f>
        <v>3.3306581023644588E-2</v>
      </c>
    </row>
    <row r="25" spans="1:21" x14ac:dyDescent="0.25">
      <c r="A25" s="165">
        <v>44166</v>
      </c>
      <c r="B25" s="166" cm="1">
        <f t="array" ref="B25">PRODUCT(1+Renditen!$B$4:B27)-1</f>
        <v>-3.7195879595523618E-2</v>
      </c>
      <c r="C25" s="166" cm="1">
        <f t="array" ref="C25">PRODUCT(1+Renditen!$C$4:C27)-1</f>
        <v>4.62742050067253E-2</v>
      </c>
      <c r="D25" s="166" cm="1">
        <f t="array" ref="D25">PRODUCT(1+Renditen!$D$4:D27)-1</f>
        <v>0.15332920400354833</v>
      </c>
      <c r="E25" s="166" cm="1">
        <f t="array" ref="E25">PRODUCT(1+Renditen!$E$4:E27)-1</f>
        <v>0.35663157013413826</v>
      </c>
      <c r="F25" s="166" cm="1">
        <f t="array" ref="F25">PRODUCT(1+Renditen!$F$4:F27)-1</f>
        <v>0.39106388042743956</v>
      </c>
      <c r="G25" s="166" cm="1">
        <f t="array" ref="G25">PRODUCT(1+Renditen!$G$4:G27)-1</f>
        <v>0.25758216989575988</v>
      </c>
      <c r="H25" s="166" cm="1">
        <f t="array" ref="H25">PRODUCT(1+Renditen!$H$4:H27)-1</f>
        <v>3.8938549342444562E-2</v>
      </c>
      <c r="I25" s="166" cm="1">
        <f t="array" ref="I25">PRODUCT(1+Renditen!$I$4:I27)-1</f>
        <v>0.13078899067594607</v>
      </c>
      <c r="J25" s="166" cm="1">
        <f t="array" ref="J25">PRODUCT(1+Renditen!$J$4:J27)-1</f>
        <v>2.4127563705219846E-2</v>
      </c>
      <c r="L25" s="165">
        <v>44166</v>
      </c>
      <c r="M25" s="166" cm="1">
        <f t="array" ref="M25">PRODUCT(1+Renditen!$M$4:M27)-1</f>
        <v>-1.6154677929057115E-2</v>
      </c>
      <c r="N25" s="166" cm="1">
        <f t="array" ref="N25">PRODUCT(1+Renditen!$N$4:N27)-1</f>
        <v>1.6283158978390277E-2</v>
      </c>
      <c r="O25" s="166" cm="1">
        <f t="array" ref="O25">PRODUCT(1+Renditen!$O$4:O27)-1</f>
        <v>8.6698306508748324E-2</v>
      </c>
      <c r="P25" s="166" cm="1">
        <f t="array" ref="P25">PRODUCT(1+Renditen!$P$4:P27)-1</f>
        <v>0.35582895746056709</v>
      </c>
      <c r="Q25" s="166" cm="1">
        <f t="array" ref="Q25">PRODUCT(1+Renditen!$Q$4:Q27)-1</f>
        <v>0.39259203302874379</v>
      </c>
      <c r="R25" s="166" cm="1">
        <f t="array" ref="R25">PRODUCT(1+Renditen!$R$4:R27)-1</f>
        <v>0.25625537955304267</v>
      </c>
      <c r="S25" s="166" cm="1">
        <f t="array" ref="S25">PRODUCT(1+Renditen!$S$4:S27)-1</f>
        <v>0.40743779514433776</v>
      </c>
      <c r="T25" s="166" cm="1">
        <f t="array" ref="T25">PRODUCT(1+Renditen!$T$4:T27)-1</f>
        <v>0.10501354526229711</v>
      </c>
      <c r="U25" s="166" cm="1">
        <f t="array" ref="U25">PRODUCT(1+Renditen!$U$4:U27)-1</f>
        <v>6.0077963762485753E-2</v>
      </c>
    </row>
    <row r="26" spans="1:21" x14ac:dyDescent="0.25">
      <c r="A26" s="165">
        <v>44197</v>
      </c>
      <c r="B26" s="166" cm="1">
        <f t="array" ref="B26">PRODUCT(1+Renditen!$B$4:B28)-1</f>
        <v>-3.6233075475119225E-2</v>
      </c>
      <c r="C26" s="166" cm="1">
        <f t="array" ref="C26">PRODUCT(1+Renditen!$C$4:C28)-1</f>
        <v>4.1670598504695677E-2</v>
      </c>
      <c r="D26" s="166" cm="1">
        <f t="array" ref="D26">PRODUCT(1+Renditen!$D$4:D28)-1</f>
        <v>0.13952788393978999</v>
      </c>
      <c r="E26" s="166" cm="1">
        <f t="array" ref="E26">PRODUCT(1+Renditen!$E$4:E28)-1</f>
        <v>0.34279392811876996</v>
      </c>
      <c r="F26" s="166" cm="1">
        <f t="array" ref="F26">PRODUCT(1+Renditen!$F$4:F28)-1</f>
        <v>0.37979626299597724</v>
      </c>
      <c r="G26" s="166" cm="1">
        <f t="array" ref="G26">PRODUCT(1+Renditen!$G$4:G28)-1</f>
        <v>0.30184906227609054</v>
      </c>
      <c r="H26" s="166" cm="1">
        <f t="array" ref="H26">PRODUCT(1+Renditen!$H$4:H28)-1</f>
        <v>4.5124265312072698E-2</v>
      </c>
      <c r="I26" s="166" cm="1">
        <f t="array" ref="I26">PRODUCT(1+Renditen!$I$4:I28)-1</f>
        <v>0.13418135764797379</v>
      </c>
      <c r="J26" s="166" cm="1">
        <f t="array" ref="J26">PRODUCT(1+Renditen!$J$4:J28)-1</f>
        <v>2.4127563705219401E-2</v>
      </c>
      <c r="L26" s="165">
        <v>44197</v>
      </c>
      <c r="M26" s="166" cm="1">
        <f t="array" ref="M26">PRODUCT(1+Renditen!$M$4:M28)-1</f>
        <v>-1.6804012299780791E-2</v>
      </c>
      <c r="N26" s="166" cm="1">
        <f t="array" ref="N26">PRODUCT(1+Renditen!$N$4:N28)-1</f>
        <v>1.6283158978390277E-2</v>
      </c>
      <c r="O26" s="166" cm="1">
        <f t="array" ref="O26">PRODUCT(1+Renditen!$O$4:O28)-1</f>
        <v>7.7490032679927934E-2</v>
      </c>
      <c r="P26" s="166" cm="1">
        <f t="array" ref="P26">PRODUCT(1+Renditen!$P$4:P28)-1</f>
        <v>0.34210065873040785</v>
      </c>
      <c r="Q26" s="166" cm="1">
        <f t="array" ref="Q26">PRODUCT(1+Renditen!$Q$4:Q28)-1</f>
        <v>0.38090709449725635</v>
      </c>
      <c r="R26" s="166" cm="1">
        <f t="array" ref="R26">PRODUCT(1+Renditen!$R$4:R28)-1</f>
        <v>0.30304637507267418</v>
      </c>
      <c r="S26" s="166" cm="1">
        <f t="array" ref="S26">PRODUCT(1+Renditen!$S$4:S28)-1</f>
        <v>0.44259720081290599</v>
      </c>
      <c r="T26" s="166" cm="1">
        <f t="array" ref="T26">PRODUCT(1+Renditen!$T$4:T28)-1</f>
        <v>0.10932222888516541</v>
      </c>
      <c r="U26" s="166" cm="1">
        <f t="array" ref="U26">PRODUCT(1+Renditen!$U$4:U28)-1</f>
        <v>5.4058702108021217E-2</v>
      </c>
    </row>
    <row r="27" spans="1:21" x14ac:dyDescent="0.25">
      <c r="A27" s="165">
        <v>44228</v>
      </c>
      <c r="B27" s="166" cm="1">
        <f t="array" ref="B27">PRODUCT(1+Renditen!$B$4:B29)-1</f>
        <v>-3.5172931858141743E-2</v>
      </c>
      <c r="C27" s="166" cm="1">
        <f t="array" ref="C27">PRODUCT(1+Renditen!$C$4:C29)-1</f>
        <v>2.4691367749069215E-2</v>
      </c>
      <c r="D27" s="166" cm="1">
        <f t="array" ref="D27">PRODUCT(1+Renditen!$D$4:D29)-1</f>
        <v>0.11393408766650226</v>
      </c>
      <c r="E27" s="166" cm="1">
        <f t="array" ref="E27">PRODUCT(1+Renditen!$E$4:E29)-1</f>
        <v>0.33688563483504752</v>
      </c>
      <c r="F27" s="166" cm="1">
        <f t="array" ref="F27">PRODUCT(1+Renditen!$F$4:F29)-1</f>
        <v>0.41705076209686842</v>
      </c>
      <c r="G27" s="166" cm="1">
        <f t="array" ref="G27">PRODUCT(1+Renditen!$G$4:G29)-1</f>
        <v>0.3363480624264068</v>
      </c>
      <c r="H27" s="166" cm="1">
        <f t="array" ref="H27">PRODUCT(1+Renditen!$H$4:H29)-1</f>
        <v>6.3454574595494195E-2</v>
      </c>
      <c r="I27" s="166" cm="1">
        <f t="array" ref="I27">PRODUCT(1+Renditen!$I$4:I29)-1</f>
        <v>0.1375839017209175</v>
      </c>
      <c r="J27" s="166" cm="1">
        <f t="array" ref="J27">PRODUCT(1+Renditen!$J$4:J29)-1</f>
        <v>5.744541136897019E-2</v>
      </c>
      <c r="L27" s="165">
        <v>44228</v>
      </c>
      <c r="M27" s="166" cm="1">
        <f t="array" ref="M27">PRODUCT(1+Renditen!$M$4:M29)-1</f>
        <v>-1.7405792250312135E-2</v>
      </c>
      <c r="N27" s="166" cm="1">
        <f t="array" ref="N27">PRODUCT(1+Renditen!$N$4:N29)-1</f>
        <v>9.7851848085865889E-3</v>
      </c>
      <c r="O27" s="166" cm="1">
        <f t="array" ref="O27">PRODUCT(1+Renditen!$O$4:O29)-1</f>
        <v>5.2884903875638267E-2</v>
      </c>
      <c r="P27" s="166" cm="1">
        <f t="array" ref="P27">PRODUCT(1+Renditen!$P$4:P29)-1</f>
        <v>0.33614443868846355</v>
      </c>
      <c r="Q27" s="166" cm="1">
        <f t="array" ref="Q27">PRODUCT(1+Renditen!$Q$4:Q29)-1</f>
        <v>0.41798308882438451</v>
      </c>
      <c r="R27" s="166" cm="1">
        <f t="array" ref="R27">PRODUCT(1+Renditen!$R$4:R29)-1</f>
        <v>0.33618524903255276</v>
      </c>
      <c r="S27" s="166" cm="1">
        <f t="array" ref="S27">PRODUCT(1+Renditen!$S$4:S29)-1</f>
        <v>0.53527746329291648</v>
      </c>
      <c r="T27" s="166" cm="1">
        <f t="array" ref="T27">PRODUCT(1+Renditen!$T$4:T29)-1</f>
        <v>0.1124612895331929</v>
      </c>
      <c r="U27" s="166" cm="1">
        <f t="array" ref="U27">PRODUCT(1+Renditen!$U$4:U29)-1</f>
        <v>9.5906902015159501E-2</v>
      </c>
    </row>
    <row r="28" spans="1:21" x14ac:dyDescent="0.25">
      <c r="A28" s="165">
        <v>44256</v>
      </c>
      <c r="B28" s="166" cm="1">
        <f t="array" ref="B28">PRODUCT(1+Renditen!$B$4:B30)-1</f>
        <v>-3.6427207046726084E-2</v>
      </c>
      <c r="C28" s="166" cm="1">
        <f t="array" ref="C28">PRODUCT(1+Renditen!$C$4:C30)-1</f>
        <v>2.9814824587814481E-2</v>
      </c>
      <c r="D28" s="166" cm="1">
        <f t="array" ref="D28">PRODUCT(1+Renditen!$D$4:D30)-1</f>
        <v>0.10033797219148499</v>
      </c>
      <c r="E28" s="166" cm="1">
        <f t="array" ref="E28">PRODUCT(1+Renditen!$E$4:E30)-1</f>
        <v>0.42645697236899571</v>
      </c>
      <c r="F28" s="166" cm="1">
        <f t="array" ref="F28">PRODUCT(1+Renditen!$F$4:F30)-1</f>
        <v>0.47628348395251763</v>
      </c>
      <c r="G28" s="166" cm="1">
        <f t="array" ref="G28">PRODUCT(1+Renditen!$G$4:G30)-1</f>
        <v>0.36775224189342737</v>
      </c>
      <c r="H28" s="166" cm="1">
        <f t="array" ref="H28">PRODUCT(1+Renditen!$H$4:H30)-1</f>
        <v>0.24097328157179865</v>
      </c>
      <c r="I28" s="166" cm="1">
        <f t="array" ref="I28">PRODUCT(1+Renditen!$I$4:I30)-1</f>
        <v>0.14099665342608003</v>
      </c>
      <c r="J28" s="166" cm="1">
        <f t="array" ref="J28">PRODUCT(1+Renditen!$J$4:J30)-1</f>
        <v>5.7311954732662151E-2</v>
      </c>
      <c r="L28" s="165">
        <v>44256</v>
      </c>
      <c r="M28" s="166" cm="1">
        <f t="array" ref="M28">PRODUCT(1+Renditen!$M$4:M30)-1</f>
        <v>-1.8075012993392869E-2</v>
      </c>
      <c r="N28" s="166" cm="1">
        <f t="array" ref="N28">PRODUCT(1+Renditen!$N$4:N30)-1</f>
        <v>1.3301735561246142E-2</v>
      </c>
      <c r="O28" s="166" cm="1">
        <f t="array" ref="O28">PRODUCT(1+Renditen!$O$4:O30)-1</f>
        <v>4.9823988785503648E-2</v>
      </c>
      <c r="P28" s="166" cm="1">
        <f t="array" ref="P28">PRODUCT(1+Renditen!$P$4:P30)-1</f>
        <v>0.42572985324344836</v>
      </c>
      <c r="Q28" s="166" cm="1">
        <f t="array" ref="Q28">PRODUCT(1+Renditen!$Q$4:Q30)-1</f>
        <v>0.47703940009013479</v>
      </c>
      <c r="R28" s="166" cm="1">
        <f t="array" ref="R28">PRODUCT(1+Renditen!$R$4:R30)-1</f>
        <v>0.36811781953392653</v>
      </c>
      <c r="S28" s="166" cm="1">
        <f t="array" ref="S28">PRODUCT(1+Renditen!$S$4:S30)-1</f>
        <v>0.69535561323956818</v>
      </c>
      <c r="T28" s="166" cm="1">
        <f t="array" ref="T28">PRODUCT(1+Renditen!$T$4:T30)-1</f>
        <v>0.11760176790301791</v>
      </c>
      <c r="U28" s="166" cm="1">
        <f t="array" ref="U28">PRODUCT(1+Renditen!$U$4:U30)-1</f>
        <v>0.1403347855735364</v>
      </c>
    </row>
    <row r="29" spans="1:21" x14ac:dyDescent="0.25">
      <c r="A29" s="165">
        <v>44287</v>
      </c>
      <c r="B29" s="166" cm="1">
        <f t="array" ref="B29">PRODUCT(1+Renditen!$B$4:B31)-1</f>
        <v>-4.2401358363036379E-2</v>
      </c>
      <c r="C29" s="166" cm="1">
        <f t="array" ref="C29">PRODUCT(1+Renditen!$C$4:C31)-1</f>
        <v>2.7961157903556355E-2</v>
      </c>
      <c r="D29" s="166" cm="1">
        <f t="array" ref="D29">PRODUCT(1+Renditen!$D$4:D31)-1</f>
        <v>0.1199174011792814</v>
      </c>
      <c r="E29" s="166" cm="1">
        <f t="array" ref="E29">PRODUCT(1+Renditen!$E$4:E31)-1</f>
        <v>0.44300387324847623</v>
      </c>
      <c r="F29" s="166" cm="1">
        <f t="array" ref="F29">PRODUCT(1+Renditen!$F$4:F31)-1</f>
        <v>0.53444905322024705</v>
      </c>
      <c r="G29" s="166" cm="1">
        <f t="array" ref="G29">PRODUCT(1+Renditen!$G$4:G31)-1</f>
        <v>0.35667344873409057</v>
      </c>
      <c r="H29" s="166" cm="1">
        <f t="array" ref="H29">PRODUCT(1+Renditen!$H$4:H31)-1</f>
        <v>0.20227983951463235</v>
      </c>
      <c r="I29" s="166" cm="1">
        <f t="array" ref="I29">PRODUCT(1+Renditen!$I$4:I31)-1</f>
        <v>0.14441964338635804</v>
      </c>
      <c r="J29" s="166" cm="1">
        <f t="array" ref="J29">PRODUCT(1+Renditen!$J$4:J31)-1</f>
        <v>6.9232364468926999E-2</v>
      </c>
      <c r="L29" s="165">
        <v>44287</v>
      </c>
      <c r="M29" s="166" cm="1">
        <f t="array" ref="M29">PRODUCT(1+Renditen!$M$4:M31)-1</f>
        <v>-1.875460926664263E-2</v>
      </c>
      <c r="N29" s="166" cm="1">
        <f t="array" ref="N29">PRODUCT(1+Renditen!$N$4:N31)-1</f>
        <v>1.2307927724473755E-2</v>
      </c>
      <c r="O29" s="166" cm="1">
        <f t="array" ref="O29">PRODUCT(1+Renditen!$O$4:O31)-1</f>
        <v>4.9092867843655963E-2</v>
      </c>
      <c r="P29" s="166" cm="1">
        <f t="array" ref="P29">PRODUCT(1+Renditen!$P$4:P31)-1</f>
        <v>0.44242354587884436</v>
      </c>
      <c r="Q29" s="166" cm="1">
        <f t="array" ref="Q29">PRODUCT(1+Renditen!$Q$4:Q31)-1</f>
        <v>0.53521144580588009</v>
      </c>
      <c r="R29" s="166" cm="1">
        <f t="array" ref="R29">PRODUCT(1+Renditen!$R$4:R31)-1</f>
        <v>0.35882680829086788</v>
      </c>
      <c r="S29" s="166" cm="1">
        <f t="array" ref="S29">PRODUCT(1+Renditen!$S$4:S31)-1</f>
        <v>0.81747951948560749</v>
      </c>
      <c r="T29" s="166" cm="1">
        <f t="array" ref="T29">PRODUCT(1+Renditen!$T$4:T31)-1</f>
        <v>0.12088320360486926</v>
      </c>
      <c r="U29" s="166" cm="1">
        <f t="array" ref="U29">PRODUCT(1+Renditen!$U$4:U31)-1</f>
        <v>0.20413895896735257</v>
      </c>
    </row>
    <row r="30" spans="1:21" x14ac:dyDescent="0.25">
      <c r="A30" s="165">
        <v>44317</v>
      </c>
      <c r="B30" s="166" cm="1">
        <f t="array" ref="B30">PRODUCT(1+Renditen!$B$4:B32)-1</f>
        <v>-4.3454716868837062E-2</v>
      </c>
      <c r="C30" s="166" cm="1">
        <f t="array" ref="C30">PRODUCT(1+Renditen!$C$4:C32)-1</f>
        <v>2.4671682198265099E-2</v>
      </c>
      <c r="D30" s="166" cm="1">
        <f t="array" ref="D30">PRODUCT(1+Renditen!$D$4:D32)-1</f>
        <v>0.13046861095066453</v>
      </c>
      <c r="E30" s="166" cm="1">
        <f t="array" ref="E30">PRODUCT(1+Renditen!$E$4:E32)-1</f>
        <v>0.49293180726287344</v>
      </c>
      <c r="F30" s="166" cm="1">
        <f t="array" ref="F30">PRODUCT(1+Renditen!$F$4:F32)-1</f>
        <v>0.54841253960455139</v>
      </c>
      <c r="G30" s="166" cm="1">
        <f t="array" ref="G30">PRODUCT(1+Renditen!$G$4:G32)-1</f>
        <v>0.36874784242782388</v>
      </c>
      <c r="H30" s="166" cm="1">
        <f t="array" ref="H30">PRODUCT(1+Renditen!$H$4:H32)-1</f>
        <v>0.18558102375790053</v>
      </c>
      <c r="I30" s="166" cm="1">
        <f t="array" ref="I30">PRODUCT(1+Renditen!$I$4:I32)-1</f>
        <v>0.14785290231651693</v>
      </c>
      <c r="J30" s="166" cm="1">
        <f t="array" ref="J30">PRODUCT(1+Renditen!$J$4:J32)-1</f>
        <v>7.8219298319890829E-2</v>
      </c>
      <c r="L30" s="165">
        <v>44317</v>
      </c>
      <c r="M30" s="166" cm="1">
        <f t="array" ref="M30">PRODUCT(1+Renditen!$M$4:M32)-1</f>
        <v>-1.9465332073744013E-2</v>
      </c>
      <c r="N30" s="166" cm="1">
        <f t="array" ref="N30">PRODUCT(1+Renditen!$N$4:N32)-1</f>
        <v>1.2155034201533077E-2</v>
      </c>
      <c r="O30" s="166" cm="1">
        <f t="array" ref="O30">PRODUCT(1+Renditen!$O$4:O32)-1</f>
        <v>5.0132005449639694E-2</v>
      </c>
      <c r="P30" s="166" cm="1">
        <f t="array" ref="P30">PRODUCT(1+Renditen!$P$4:P32)-1</f>
        <v>0.49225844004269703</v>
      </c>
      <c r="Q30" s="166" cm="1">
        <f t="array" ref="Q30">PRODUCT(1+Renditen!$Q$4:Q32)-1</f>
        <v>0.54885440107118133</v>
      </c>
      <c r="R30" s="166" cm="1">
        <f t="array" ref="R30">PRODUCT(1+Renditen!$R$4:R32)-1</f>
        <v>0.37097802734143959</v>
      </c>
      <c r="S30" s="166" cm="1">
        <f t="array" ref="S30">PRODUCT(1+Renditen!$S$4:S32)-1</f>
        <v>0.85342320272333927</v>
      </c>
      <c r="T30" s="166" cm="1">
        <f t="array" ref="T30">PRODUCT(1+Renditen!$T$4:T32)-1</f>
        <v>0.12565430337661798</v>
      </c>
      <c r="U30" s="166" cm="1">
        <f t="array" ref="U30">PRODUCT(1+Renditen!$U$4:U32)-1</f>
        <v>0.22007567077791768</v>
      </c>
    </row>
    <row r="31" spans="1:21" x14ac:dyDescent="0.25">
      <c r="A31" s="165">
        <v>44348</v>
      </c>
      <c r="B31" s="166" cm="1">
        <f t="array" ref="B31">PRODUCT(1+Renditen!$B$4:B33)-1</f>
        <v>-4.3837334982089526E-2</v>
      </c>
      <c r="C31" s="166" cm="1">
        <f t="array" ref="C31">PRODUCT(1+Renditen!$C$4:C33)-1</f>
        <v>2.9282704768157197E-2</v>
      </c>
      <c r="D31" s="166" cm="1">
        <f t="array" ref="D31">PRODUCT(1+Renditen!$D$4:D33)-1</f>
        <v>0.13482091510282457</v>
      </c>
      <c r="E31" s="166" cm="1">
        <f t="array" ref="E31">PRODUCT(1+Renditen!$E$4:E33)-1</f>
        <v>0.56190525675841818</v>
      </c>
      <c r="F31" s="166" cm="1">
        <f t="array" ref="F31">PRODUCT(1+Renditen!$F$4:F33)-1</f>
        <v>0.58294213923773297</v>
      </c>
      <c r="G31" s="166" cm="1">
        <f t="array" ref="G31">PRODUCT(1+Renditen!$G$4:G33)-1</f>
        <v>0.40789403072125952</v>
      </c>
      <c r="H31" s="166" cm="1">
        <f t="array" ref="H31">PRODUCT(1+Renditen!$H$4:H33)-1</f>
        <v>0.34733444323923734</v>
      </c>
      <c r="I31" s="166" cm="1">
        <f t="array" ref="I31">PRODUCT(1+Renditen!$I$4:I33)-1</f>
        <v>0.15129646102346639</v>
      </c>
      <c r="J31" s="166" cm="1">
        <f t="array" ref="J31">PRODUCT(1+Renditen!$J$4:J33)-1</f>
        <v>0.10819230441689909</v>
      </c>
      <c r="L31" s="165">
        <v>44348</v>
      </c>
      <c r="M31" s="166" cm="1">
        <f t="array" ref="M31">PRODUCT(1+Renditen!$M$4:M33)-1</f>
        <v>-2.0149251474697816E-2</v>
      </c>
      <c r="N31" s="166" cm="1">
        <f t="array" ref="N31">PRODUCT(1+Renditen!$N$4:N33)-1</f>
        <v>1.31488420026451E-2</v>
      </c>
      <c r="O31" s="166" cm="1">
        <f t="array" ref="O31">PRODUCT(1+Renditen!$O$4:O33)-1</f>
        <v>5.5199841275214379E-2</v>
      </c>
      <c r="P31" s="166" cm="1">
        <f t="array" ref="P31">PRODUCT(1+Renditen!$P$4:P33)-1</f>
        <v>0.56123665580550419</v>
      </c>
      <c r="Q31" s="166" cm="1">
        <f t="array" ref="Q31">PRODUCT(1+Renditen!$Q$4:Q33)-1</f>
        <v>0.58346708405115133</v>
      </c>
      <c r="R31" s="166" cm="1">
        <f t="array" ref="R31">PRODUCT(1+Renditen!$R$4:R33)-1</f>
        <v>0.41151721805681585</v>
      </c>
      <c r="S31" s="166" cm="1">
        <f t="array" ref="S31">PRODUCT(1+Renditen!$S$4:S33)-1</f>
        <v>0.94037351618655629</v>
      </c>
      <c r="T31" s="166" cm="1">
        <f t="array" ref="T31">PRODUCT(1+Renditen!$T$4:T33)-1</f>
        <v>0.13052676162825172</v>
      </c>
      <c r="U31" s="166" cm="1">
        <f t="array" ref="U31">PRODUCT(1+Renditen!$U$4:U33)-1</f>
        <v>0.24237560202044772</v>
      </c>
    </row>
    <row r="32" spans="1:21" x14ac:dyDescent="0.25">
      <c r="A32" s="165">
        <v>44378</v>
      </c>
      <c r="B32" s="166" cm="1">
        <f t="array" ref="B32">PRODUCT(1+Renditen!$B$4:B34)-1</f>
        <v>-5.0626089903716642E-2</v>
      </c>
      <c r="C32" s="166" cm="1">
        <f t="array" ref="C32">PRODUCT(1+Renditen!$C$4:C34)-1</f>
        <v>4.2354595118712757E-2</v>
      </c>
      <c r="D32" s="166" cm="1">
        <f t="array" ref="D32">PRODUCT(1+Renditen!$D$4:D34)-1</f>
        <v>0.13383972800423871</v>
      </c>
      <c r="E32" s="166" cm="1">
        <f t="array" ref="E32">PRODUCT(1+Renditen!$E$4:E34)-1</f>
        <v>0.58549002613547008</v>
      </c>
      <c r="F32" s="166" cm="1">
        <f t="array" ref="F32">PRODUCT(1+Renditen!$F$4:F34)-1</f>
        <v>0.60842750767946052</v>
      </c>
      <c r="G32" s="166" cm="1">
        <f t="array" ref="G32">PRODUCT(1+Renditen!$G$4:G34)-1</f>
        <v>0.28709672288537558</v>
      </c>
      <c r="H32" s="166" cm="1">
        <f t="array" ref="H32">PRODUCT(1+Renditen!$H$4:H34)-1</f>
        <v>0.3208990137675507</v>
      </c>
      <c r="I32" s="166" cm="1">
        <f t="array" ref="I32">PRODUCT(1+Renditen!$I$4:I34)-1</f>
        <v>0.15475035040653662</v>
      </c>
      <c r="J32" s="166" cm="1">
        <f t="array" ref="J32">PRODUCT(1+Renditen!$J$4:J34)-1</f>
        <v>0.10063351030368772</v>
      </c>
      <c r="L32" s="165">
        <v>44378</v>
      </c>
      <c r="M32" s="166" cm="1">
        <f t="array" ref="M32">PRODUCT(1+Renditen!$M$4:M34)-1</f>
        <v>-2.0833170933660994E-2</v>
      </c>
      <c r="N32" s="166" cm="1">
        <f t="array" ref="N32">PRODUCT(1+Renditen!$N$4:N34)-1</f>
        <v>1.834722137753042E-2</v>
      </c>
      <c r="O32" s="166" cm="1">
        <f t="array" ref="O32">PRODUCT(1+Renditen!$O$4:O34)-1</f>
        <v>6.985113701214396E-2</v>
      </c>
      <c r="P32" s="166" cm="1">
        <f t="array" ref="P32">PRODUCT(1+Renditen!$P$4:P34)-1</f>
        <v>0.58475736672439593</v>
      </c>
      <c r="Q32" s="166" cm="1">
        <f t="array" ref="Q32">PRODUCT(1+Renditen!$Q$4:Q34)-1</f>
        <v>0.60923711080139342</v>
      </c>
      <c r="R32" s="166" cm="1">
        <f t="array" ref="R32">PRODUCT(1+Renditen!$R$4:R34)-1</f>
        <v>0.29081515373011357</v>
      </c>
      <c r="S32" s="166" cm="1">
        <f t="array" ref="S32">PRODUCT(1+Renditen!$S$4:S34)-1</f>
        <v>1.0463891121765188</v>
      </c>
      <c r="T32" s="166" cm="1">
        <f t="array" ref="T32">PRODUCT(1+Renditen!$T$4:T34)-1</f>
        <v>0.13560488932098647</v>
      </c>
      <c r="U32" s="166" cm="1">
        <f t="array" ref="U32">PRODUCT(1+Renditen!$U$4:U34)-1</f>
        <v>0.28829396938284102</v>
      </c>
    </row>
    <row r="33" spans="1:21" x14ac:dyDescent="0.25">
      <c r="A33" s="165">
        <v>44409</v>
      </c>
      <c r="B33" s="166" cm="1">
        <f t="array" ref="B33">PRODUCT(1+Renditen!$B$4:B35)-1</f>
        <v>-5.167040120482258E-2</v>
      </c>
      <c r="C33" s="166" cm="1">
        <f t="array" ref="C33">PRODUCT(1+Renditen!$C$4:C35)-1</f>
        <v>3.9123295873844777E-2</v>
      </c>
      <c r="D33" s="166" cm="1">
        <f t="array" ref="D33">PRODUCT(1+Renditen!$D$4:D35)-1</f>
        <v>0.14418513686360601</v>
      </c>
      <c r="E33" s="166" cm="1">
        <f t="array" ref="E33">PRODUCT(1+Renditen!$E$4:E35)-1</f>
        <v>0.62322468875749437</v>
      </c>
      <c r="F33" s="166" cm="1">
        <f t="array" ref="F33">PRODUCT(1+Renditen!$F$4:F35)-1</f>
        <v>0.65105083663296615</v>
      </c>
      <c r="G33" s="166" cm="1">
        <f t="array" ref="G33">PRODUCT(1+Renditen!$G$4:G35)-1</f>
        <v>0.33098672113576688</v>
      </c>
      <c r="H33" s="166" cm="1">
        <f t="array" ref="H33">PRODUCT(1+Renditen!$H$4:H35)-1</f>
        <v>0.33489321470157862</v>
      </c>
      <c r="I33" s="166" cm="1">
        <f t="array" ref="I33">PRODUCT(1+Renditen!$I$4:I35)-1</f>
        <v>0.15821460145775612</v>
      </c>
      <c r="J33" s="166" cm="1">
        <f t="array" ref="J33">PRODUCT(1+Renditen!$J$4:J35)-1</f>
        <v>0.10566341392147072</v>
      </c>
      <c r="L33" s="165">
        <v>44409</v>
      </c>
      <c r="M33" s="166" cm="1">
        <f t="array" ref="M33">PRODUCT(1+Renditen!$M$4:M35)-1</f>
        <v>-2.1511037946088551E-2</v>
      </c>
      <c r="N33" s="166" cm="1">
        <f t="array" ref="N33">PRODUCT(1+Renditen!$N$4:N35)-1</f>
        <v>1.7353413574650478E-2</v>
      </c>
      <c r="O33" s="166" cm="1">
        <f t="array" ref="O33">PRODUCT(1+Renditen!$O$4:O35)-1</f>
        <v>6.568454270326729E-2</v>
      </c>
      <c r="P33" s="166" cm="1">
        <f t="array" ref="P33">PRODUCT(1+Renditen!$P$4:P35)-1</f>
        <v>0.6223400467859046</v>
      </c>
      <c r="Q33" s="166" cm="1">
        <f t="array" ref="Q33">PRODUCT(1+Renditen!$Q$4:Q35)-1</f>
        <v>0.65161869884137125</v>
      </c>
      <c r="R33" s="166" cm="1">
        <f t="array" ref="R33">PRODUCT(1+Renditen!$R$4:R35)-1</f>
        <v>0.33885428732537459</v>
      </c>
      <c r="S33" s="166" cm="1">
        <f t="array" ref="S33">PRODUCT(1+Renditen!$S$4:S35)-1</f>
        <v>1.1157826163574738</v>
      </c>
      <c r="T33" s="166" cm="1">
        <f t="array" ref="T33">PRODUCT(1+Renditen!$T$4:T35)-1</f>
        <v>0.14036749414927319</v>
      </c>
      <c r="U33" s="166" cm="1">
        <f t="array" ref="U33">PRODUCT(1+Renditen!$U$4:U35)-1</f>
        <v>0.30703966992926124</v>
      </c>
    </row>
    <row r="34" spans="1:21" x14ac:dyDescent="0.25">
      <c r="A34" s="165">
        <v>44440</v>
      </c>
      <c r="B34" s="166" cm="1">
        <f t="array" ref="B34">PRODUCT(1+Renditen!$B$4:B36)-1</f>
        <v>-5.4041225201810428E-2</v>
      </c>
      <c r="C34" s="166" cm="1">
        <f t="array" ref="C34">PRODUCT(1+Renditen!$C$4:C36)-1</f>
        <v>2.3224709446975078E-2</v>
      </c>
      <c r="D34" s="166" cm="1">
        <f t="array" ref="D34">PRODUCT(1+Renditen!$D$4:D36)-1</f>
        <v>0.12068137003855139</v>
      </c>
      <c r="E34" s="166" cm="1">
        <f t="array" ref="E34">PRODUCT(1+Renditen!$E$4:E36)-1</f>
        <v>0.53135017137382023</v>
      </c>
      <c r="F34" s="166" cm="1">
        <f t="array" ref="F34">PRODUCT(1+Renditen!$F$4:F36)-1</f>
        <v>0.5896317455102198</v>
      </c>
      <c r="G34" s="166" cm="1">
        <f t="array" ref="G34">PRODUCT(1+Renditen!$G$4:G36)-1</f>
        <v>0.30170501327077992</v>
      </c>
      <c r="H34" s="166" cm="1">
        <f t="array" ref="H34">PRODUCT(1+Renditen!$H$4:H36)-1</f>
        <v>0.5030679134255831</v>
      </c>
      <c r="I34" s="166" cm="1">
        <f t="array" ref="I34">PRODUCT(1+Renditen!$I$4:I36)-1</f>
        <v>0.16168924526212924</v>
      </c>
      <c r="J34" s="166" cm="1">
        <f t="array" ref="J34">PRODUCT(1+Renditen!$J$4:J36)-1</f>
        <v>0.13610528986184645</v>
      </c>
      <c r="L34" s="165">
        <v>44440</v>
      </c>
      <c r="M34" s="166" cm="1">
        <f t="array" ref="M34">PRODUCT(1+Renditen!$M$4:M36)-1</f>
        <v>-2.217766486313455E-2</v>
      </c>
      <c r="N34" s="166" cm="1">
        <f t="array" ref="N34">PRODUCT(1+Renditen!$N$4:N36)-1</f>
        <v>9.7087381164195907E-3</v>
      </c>
      <c r="O34" s="166" cm="1">
        <f t="array" ref="O34">PRODUCT(1+Renditen!$O$4:O36)-1</f>
        <v>5.2004587449964612E-2</v>
      </c>
      <c r="P34" s="166" cm="1">
        <f t="array" ref="P34">PRODUCT(1+Renditen!$P$4:P36)-1</f>
        <v>0.53046980391181164</v>
      </c>
      <c r="Q34" s="166" cm="1">
        <f t="array" ref="Q34">PRODUCT(1+Renditen!$Q$4:Q36)-1</f>
        <v>0.58965694334984553</v>
      </c>
      <c r="R34" s="166" cm="1">
        <f t="array" ref="R34">PRODUCT(1+Renditen!$R$4:R36)-1</f>
        <v>0.30922530913251878</v>
      </c>
      <c r="S34" s="166" cm="1">
        <f t="array" ref="S34">PRODUCT(1+Renditen!$S$4:S36)-1</f>
        <v>1.0441856023596277</v>
      </c>
      <c r="T34" s="166" cm="1">
        <f t="array" ref="T34">PRODUCT(1+Renditen!$T$4:T36)-1</f>
        <v>0.14723463758282485</v>
      </c>
      <c r="U34" s="166" cm="1">
        <f t="array" ref="U34">PRODUCT(1+Renditen!$U$4:U36)-1</f>
        <v>0.23756019278643881</v>
      </c>
    </row>
    <row r="35" spans="1:21" x14ac:dyDescent="0.25">
      <c r="A35" s="165">
        <v>44470</v>
      </c>
      <c r="B35" s="166" cm="1">
        <f t="array" ref="B35">PRODUCT(1+Renditen!$B$4:B37)-1</f>
        <v>-5.6311526261326073E-2</v>
      </c>
      <c r="C35" s="166" cm="1">
        <f t="array" ref="C35">PRODUCT(1+Renditen!$C$4:C37)-1</f>
        <v>1.565284659706756E-2</v>
      </c>
      <c r="D35" s="166" cm="1">
        <f t="array" ref="D35">PRODUCT(1+Renditen!$D$4:D37)-1</f>
        <v>0.11919340944685586</v>
      </c>
      <c r="E35" s="166" cm="1">
        <f t="array" ref="E35">PRODUCT(1+Renditen!$E$4:E37)-1</f>
        <v>0.58938834286888819</v>
      </c>
      <c r="F35" s="166" cm="1">
        <f t="array" ref="F35">PRODUCT(1+Renditen!$F$4:F37)-1</f>
        <v>0.67578978611687379</v>
      </c>
      <c r="G35" s="166" cm="1">
        <f t="array" ref="G35">PRODUCT(1+Renditen!$G$4:G37)-1</f>
        <v>0.28673540561816591</v>
      </c>
      <c r="H35" s="166" cm="1">
        <f t="array" ref="H35">PRODUCT(1+Renditen!$H$4:H37)-1</f>
        <v>0.47179035091136567</v>
      </c>
      <c r="I35" s="166" cm="1">
        <f t="array" ref="I35">PRODUCT(1+Renditen!$I$4:I37)-1</f>
        <v>0.16517431299791552</v>
      </c>
      <c r="J35" s="166" cm="1">
        <f t="array" ref="J35">PRODUCT(1+Renditen!$J$4:J37)-1</f>
        <v>0.1250784062876158</v>
      </c>
      <c r="L35" s="165">
        <v>44470</v>
      </c>
      <c r="M35" s="166" cm="1">
        <f t="array" ref="M35">PRODUCT(1+Renditen!$M$4:M37)-1</f>
        <v>-2.2868501329802671E-2</v>
      </c>
      <c r="N35" s="166" cm="1">
        <f t="array" ref="N35">PRODUCT(1+Renditen!$N$4:N37)-1</f>
        <v>9.9380811035798544E-4</v>
      </c>
      <c r="O35" s="166" cm="1">
        <f t="array" ref="O35">PRODUCT(1+Renditen!$O$4:O37)-1</f>
        <v>4.9300235025163008E-2</v>
      </c>
      <c r="P35" s="166" cm="1">
        <f t="array" ref="P35">PRODUCT(1+Renditen!$P$4:P37)-1</f>
        <v>0.58831787406745084</v>
      </c>
      <c r="Q35" s="166" cm="1">
        <f t="array" ref="Q35">PRODUCT(1+Renditen!$Q$4:Q37)-1</f>
        <v>0.67536754692149326</v>
      </c>
      <c r="R35" s="166" cm="1">
        <f t="array" ref="R35">PRODUCT(1+Renditen!$R$4:R37)-1</f>
        <v>0.29506744077285929</v>
      </c>
      <c r="S35" s="166" cm="1">
        <f t="array" ref="S35">PRODUCT(1+Renditen!$S$4:S37)-1</f>
        <v>1.2536244528729426</v>
      </c>
      <c r="T35" s="166" cm="1">
        <f t="array" ref="T35">PRODUCT(1+Renditen!$T$4:T37)-1</f>
        <v>0.15251763312701105</v>
      </c>
      <c r="U35" s="166" cm="1">
        <f t="array" ref="U35">PRODUCT(1+Renditen!$U$4:U37)-1</f>
        <v>0.30749828036025506</v>
      </c>
    </row>
    <row r="36" spans="1:21" x14ac:dyDescent="0.25">
      <c r="A36" s="165">
        <v>44501</v>
      </c>
      <c r="B36" s="166" cm="1">
        <f t="array" ref="B36">PRODUCT(1+Renditen!$B$4:B38)-1</f>
        <v>-5.5650944329709073E-2</v>
      </c>
      <c r="C36" s="166" cm="1">
        <f t="array" ref="C36">PRODUCT(1+Renditen!$C$4:C38)-1</f>
        <v>3.1700161573301244E-2</v>
      </c>
      <c r="D36" s="166" cm="1">
        <f t="array" ref="D36">PRODUCT(1+Renditen!$D$4:D38)-1</f>
        <v>0.10170175340194398</v>
      </c>
      <c r="E36" s="166" cm="1">
        <f t="array" ref="E36">PRODUCT(1+Renditen!$E$4:E38)-1</f>
        <v>0.58128246232025682</v>
      </c>
      <c r="F36" s="166" cm="1">
        <f t="array" ref="F36">PRODUCT(1+Renditen!$F$4:F38)-1</f>
        <v>0.64880957056039201</v>
      </c>
      <c r="G36" s="166" cm="1">
        <f t="array" ref="G36">PRODUCT(1+Renditen!$G$4:G38)-1</f>
        <v>0.24864803761186827</v>
      </c>
      <c r="H36" s="166" cm="1">
        <f t="array" ref="H36">PRODUCT(1+Renditen!$H$4:H38)-1</f>
        <v>0.49053943932818589</v>
      </c>
      <c r="I36" s="166" cm="1">
        <f t="array" ref="I36">PRODUCT(1+Renditen!$I$4:I38)-1</f>
        <v>0.16866983593690921</v>
      </c>
      <c r="J36" s="166" cm="1">
        <f t="array" ref="J36">PRODUCT(1+Renditen!$J$4:J38)-1</f>
        <v>0.11581133098918928</v>
      </c>
      <c r="L36" s="165">
        <v>44501</v>
      </c>
      <c r="M36" s="166" cm="1">
        <f t="array" ref="M36">PRODUCT(1+Renditen!$M$4:M38)-1</f>
        <v>-2.3514377237945361E-2</v>
      </c>
      <c r="N36" s="166" cm="1">
        <f t="array" ref="N36">PRODUCT(1+Renditen!$N$4:N38)-1</f>
        <v>1.0626099255488297E-2</v>
      </c>
      <c r="O36" s="166" cm="1">
        <f t="array" ref="O36">PRODUCT(1+Renditen!$O$4:O38)-1</f>
        <v>6.1145482655244221E-2</v>
      </c>
      <c r="P36" s="166" cm="1">
        <f t="array" ref="P36">PRODUCT(1+Renditen!$P$4:P38)-1</f>
        <v>0.58015210506507775</v>
      </c>
      <c r="Q36" s="166" cm="1">
        <f t="array" ref="Q36">PRODUCT(1+Renditen!$Q$4:Q38)-1</f>
        <v>0.64890274000900283</v>
      </c>
      <c r="R36" s="166" cm="1">
        <f t="array" ref="R36">PRODUCT(1+Renditen!$R$4:R38)-1</f>
        <v>0.25813011337465941</v>
      </c>
      <c r="S36" s="166" cm="1">
        <f t="array" ref="S36">PRODUCT(1+Renditen!$S$4:S38)-1</f>
        <v>1.2189905947528419</v>
      </c>
      <c r="T36" s="166" cm="1">
        <f t="array" ref="T36">PRODUCT(1+Renditen!$T$4:T38)-1</f>
        <v>0.15720986537381543</v>
      </c>
      <c r="U36" s="166" cm="1">
        <f t="array" ref="U36">PRODUCT(1+Renditen!$U$4:U38)-1</f>
        <v>0.28915386388033437</v>
      </c>
    </row>
    <row r="37" spans="1:21" x14ac:dyDescent="0.25">
      <c r="A37" s="165">
        <v>44531</v>
      </c>
      <c r="B37" s="166" cm="1">
        <f t="array" ref="B37">PRODUCT(1+Renditen!$B$4:B39)-1</f>
        <v>-6.0750429230328584E-2</v>
      </c>
      <c r="C37" s="166" cm="1">
        <f t="array" ref="C37">PRODUCT(1+Renditen!$C$4:C39)-1</f>
        <v>2.2724370167613417E-2</v>
      </c>
      <c r="D37" s="166" cm="1">
        <f t="array" ref="D37">PRODUCT(1+Renditen!$D$4:D39)-1</f>
        <v>0.11366957701476488</v>
      </c>
      <c r="E37" s="166" cm="1">
        <f t="array" ref="E37">PRODUCT(1+Renditen!$E$4:E39)-1</f>
        <v>0.6739456146122238</v>
      </c>
      <c r="F37" s="166" cm="1">
        <f t="array" ref="F37">PRODUCT(1+Renditen!$F$4:F39)-1</f>
        <v>0.71146433424168687</v>
      </c>
      <c r="G37" s="166" cm="1">
        <f t="array" ref="G37">PRODUCT(1+Renditen!$G$4:G39)-1</f>
        <v>0.25339290015479343</v>
      </c>
      <c r="H37" s="166" cm="1">
        <f t="array" ref="H37">PRODUCT(1+Renditen!$H$4:H39)-1</f>
        <v>0.59065381307126708</v>
      </c>
      <c r="I37" s="166" cm="1">
        <f t="array" ref="I37">PRODUCT(1+Renditen!$I$4:I39)-1</f>
        <v>0.1884203561642428</v>
      </c>
      <c r="J37" s="166" cm="1">
        <f t="array" ref="J37">PRODUCT(1+Renditen!$J$4:J39)-1</f>
        <v>0.18463524337140114</v>
      </c>
      <c r="L37" s="165">
        <v>44531</v>
      </c>
      <c r="M37" s="166" cm="1">
        <f t="array" ref="M37">PRODUCT(1+Renditen!$M$4:M39)-1</f>
        <v>-2.4179274891557578E-2</v>
      </c>
      <c r="N37" s="166" cm="1">
        <f t="array" ref="N37">PRODUCT(1+Renditen!$N$4:N39)-1</f>
        <v>6.1157407662699725E-3</v>
      </c>
      <c r="O37" s="166" cm="1">
        <f t="array" ref="O37">PRODUCT(1+Renditen!$O$4:O39)-1</f>
        <v>5.011819494445624E-2</v>
      </c>
      <c r="P37" s="166" cm="1">
        <f t="array" ref="P37">PRODUCT(1+Renditen!$P$4:P39)-1</f>
        <v>0.67288093884251965</v>
      </c>
      <c r="Q37" s="166" cm="1">
        <f t="array" ref="Q37">PRODUCT(1+Renditen!$Q$4:Q39)-1</f>
        <v>0.71136979004410494</v>
      </c>
      <c r="R37" s="166" cm="1">
        <f t="array" ref="R37">PRODUCT(1+Renditen!$R$4:R39)-1</f>
        <v>0.26199779783708044</v>
      </c>
      <c r="S37" s="166" cm="1">
        <f t="array" ref="S37">PRODUCT(1+Renditen!$S$4:S39)-1</f>
        <v>1.2057057110851539</v>
      </c>
      <c r="T37" s="166" cm="1">
        <f t="array" ref="T37">PRODUCT(1+Renditen!$T$4:T39)-1</f>
        <v>0.16831183120308646</v>
      </c>
      <c r="U37" s="166" cm="1">
        <f t="array" ref="U37">PRODUCT(1+Renditen!$U$4:U39)-1</f>
        <v>0.36591378132664332</v>
      </c>
    </row>
    <row r="38" spans="1:21" x14ac:dyDescent="0.25">
      <c r="A38" s="165">
        <v>44562</v>
      </c>
      <c r="B38" s="166" cm="1">
        <f t="array" ref="B38">PRODUCT(1+Renditen!$B$4:B40)-1</f>
        <v>-6.239203555115691E-2</v>
      </c>
      <c r="C38" s="166" cm="1">
        <f t="array" ref="C38">PRODUCT(1+Renditen!$C$4:C40)-1</f>
        <v>7.1789597410656381E-3</v>
      </c>
      <c r="D38" s="166" cm="1">
        <f t="array" ref="D38">PRODUCT(1+Renditen!$D$4:D40)-1</f>
        <v>8.9387782710729002E-2</v>
      </c>
      <c r="E38" s="166" cm="1">
        <f t="array" ref="E38">PRODUCT(1+Renditen!$E$4:E40)-1</f>
        <v>0.57920029282517205</v>
      </c>
      <c r="F38" s="166" cm="1">
        <f t="array" ref="F38">PRODUCT(1+Renditen!$F$4:F40)-1</f>
        <v>0.62417965319536073</v>
      </c>
      <c r="G38" s="166" cm="1">
        <f t="array" ref="G38">PRODUCT(1+Renditen!$G$4:G40)-1</f>
        <v>0.25853181104542799</v>
      </c>
      <c r="H38" s="166" cm="1">
        <f t="array" ref="H38">PRODUCT(1+Renditen!$H$4:H40)-1</f>
        <v>0.62488027829002157</v>
      </c>
      <c r="I38" s="166" cm="1">
        <f t="array" ref="I38">PRODUCT(1+Renditen!$I$4:I40)-1</f>
        <v>0.19198561723273544</v>
      </c>
      <c r="J38" s="166" cm="1">
        <f t="array" ref="J38">PRODUCT(1+Renditen!$J$4:J40)-1</f>
        <v>0.18844443151014567</v>
      </c>
      <c r="L38" s="165">
        <v>44562</v>
      </c>
      <c r="M38" s="166" cm="1">
        <f t="array" ref="M38">PRODUCT(1+Renditen!$M$4:M40)-1</f>
        <v>-2.4843307916578183E-2</v>
      </c>
      <c r="N38" s="166" cm="1">
        <f t="array" ref="N38">PRODUCT(1+Renditen!$N$4:N40)-1</f>
        <v>-3.9752308691388683E-3</v>
      </c>
      <c r="O38" s="166" cm="1">
        <f t="array" ref="O38">PRODUCT(1+Renditen!$O$4:O40)-1</f>
        <v>3.3364141854703933E-2</v>
      </c>
      <c r="P38" s="166" cm="1">
        <f t="array" ref="P38">PRODUCT(1+Renditen!$P$4:P40)-1</f>
        <v>0.57809820102991161</v>
      </c>
      <c r="Q38" s="166" cm="1">
        <f t="array" ref="Q38">PRODUCT(1+Renditen!$Q$4:Q40)-1</f>
        <v>0.62439594985427327</v>
      </c>
      <c r="R38" s="166" cm="1">
        <f t="array" ref="R38">PRODUCT(1+Renditen!$R$4:R40)-1</f>
        <v>0.26515012774952273</v>
      </c>
      <c r="S38" s="166" cm="1">
        <f t="array" ref="S38">PRODUCT(1+Renditen!$S$4:S40)-1</f>
        <v>1.0931072977608403</v>
      </c>
      <c r="T38" s="166" cm="1">
        <f t="array" ref="T38">PRODUCT(1+Renditen!$T$4:T40)-1</f>
        <v>0.17188500989371769</v>
      </c>
      <c r="U38" s="166" cm="1">
        <f t="array" ref="U38">PRODUCT(1+Renditen!$U$4:U40)-1</f>
        <v>0.29070167404794556</v>
      </c>
    </row>
    <row r="39" spans="1:21" x14ac:dyDescent="0.25">
      <c r="A39" s="165">
        <v>44593</v>
      </c>
      <c r="B39" s="166" cm="1">
        <f t="array" ref="B39">PRODUCT(1+Renditen!$B$4:B41)-1</f>
        <v>-6.4890294516872005E-2</v>
      </c>
      <c r="C39" s="166" cm="1">
        <f t="array" ref="C39">PRODUCT(1+Renditen!$C$4:C41)-1</f>
        <v>-1.0748825742325385E-2</v>
      </c>
      <c r="D39" s="166" cm="1">
        <f t="array" ref="D39">PRODUCT(1+Renditen!$D$4:D41)-1</f>
        <v>3.2600164036616031E-2</v>
      </c>
      <c r="E39" s="166" cm="1">
        <f t="array" ref="E39">PRODUCT(1+Renditen!$E$4:E41)-1</f>
        <v>0.54382620626588829</v>
      </c>
      <c r="F39" s="166" cm="1">
        <f t="array" ref="F39">PRODUCT(1+Renditen!$F$4:F41)-1</f>
        <v>0.57935229476716876</v>
      </c>
      <c r="G39" s="166" cm="1">
        <f t="array" ref="G39">PRODUCT(1+Renditen!$G$4:G41)-1</f>
        <v>0.19824813729635182</v>
      </c>
      <c r="H39" s="166" cm="1">
        <f t="array" ref="H39">PRODUCT(1+Renditen!$H$4:H41)-1</f>
        <v>0.60118436207537296</v>
      </c>
      <c r="I39" s="166" cm="1">
        <f t="array" ref="I39">PRODUCT(1+Renditen!$I$4:I41)-1</f>
        <v>0.19556157408443342</v>
      </c>
      <c r="J39" s="166" cm="1">
        <f t="array" ref="J39">PRODUCT(1+Renditen!$J$4:J41)-1</f>
        <v>0.1770170371682076</v>
      </c>
      <c r="L39" s="165">
        <v>44593</v>
      </c>
      <c r="M39" s="166" cm="1">
        <f t="array" ref="M39">PRODUCT(1+Renditen!$M$4:M41)-1</f>
        <v>-2.5458057226959929E-2</v>
      </c>
      <c r="N39" s="166" cm="1">
        <f t="array" ref="N39">PRODUCT(1+Renditen!$N$4:N41)-1</f>
        <v>-1.8653007846303749E-2</v>
      </c>
      <c r="O39" s="166" cm="1">
        <f t="array" ref="O39">PRODUCT(1+Renditen!$O$4:O41)-1</f>
        <v>2.082690317519531E-2</v>
      </c>
      <c r="P39" s="166" cm="1">
        <f t="array" ref="P39">PRODUCT(1+Renditen!$P$4:P41)-1</f>
        <v>0.54338325519328912</v>
      </c>
      <c r="Q39" s="166" cm="1">
        <f t="array" ref="Q39">PRODUCT(1+Renditen!$Q$4:Q41)-1</f>
        <v>0.58024583055427392</v>
      </c>
      <c r="R39" s="166" cm="1">
        <f t="array" ref="R39">PRODUCT(1+Renditen!$R$4:R41)-1</f>
        <v>0.20940673700441526</v>
      </c>
      <c r="S39" s="166" cm="1">
        <f t="array" ref="S39">PRODUCT(1+Renditen!$S$4:S41)-1</f>
        <v>0.95449047723724512</v>
      </c>
      <c r="T39" s="166" cm="1">
        <f t="array" ref="T39">PRODUCT(1+Renditen!$T$4:T41)-1</f>
        <v>0.17585095880873802</v>
      </c>
      <c r="U39" s="166" cm="1">
        <f t="array" ref="U39">PRODUCT(1+Renditen!$U$4:U41)-1</f>
        <v>0.25762439823986716</v>
      </c>
    </row>
    <row r="40" spans="1:21" x14ac:dyDescent="0.25">
      <c r="A40" s="165">
        <v>44621</v>
      </c>
      <c r="B40" s="166" cm="1">
        <f t="array" ref="B40">PRODUCT(1+Renditen!$B$4:B42)-1</f>
        <v>-6.8425178082617832E-2</v>
      </c>
      <c r="C40" s="166" cm="1">
        <f t="array" ref="C40">PRODUCT(1+Renditen!$C$4:C42)-1</f>
        <v>-4.1514537261739037E-2</v>
      </c>
      <c r="D40" s="166" cm="1">
        <f t="array" ref="D40">PRODUCT(1+Renditen!$D$4:D42)-1</f>
        <v>3.3059978354808228E-2</v>
      </c>
      <c r="E40" s="166" cm="1">
        <f t="array" ref="E40">PRODUCT(1+Renditen!$E$4:E42)-1</f>
        <v>0.58118680045752269</v>
      </c>
      <c r="F40" s="166" cm="1">
        <f t="array" ref="F40">PRODUCT(1+Renditen!$F$4:F42)-1</f>
        <v>0.62736460452809073</v>
      </c>
      <c r="G40" s="166" cm="1">
        <f t="array" ref="G40">PRODUCT(1+Renditen!$G$4:G42)-1</f>
        <v>0.17799774377604338</v>
      </c>
      <c r="H40" s="166" cm="1">
        <f t="array" ref="H40">PRODUCT(1+Renditen!$H$4:H42)-1</f>
        <v>0.71249235167192326</v>
      </c>
      <c r="I40" s="166" cm="1">
        <f t="array" ref="I40">PRODUCT(1+Renditen!$I$4:I42)-1</f>
        <v>0.19914825880668663</v>
      </c>
      <c r="J40" s="166" cm="1">
        <f t="array" ref="J40">PRODUCT(1+Renditen!$J$4:J42)-1</f>
        <v>0.22547579700677933</v>
      </c>
      <c r="L40" s="165">
        <v>44621</v>
      </c>
      <c r="M40" s="166" cm="1">
        <f t="array" ref="M40">PRODUCT(1+Renditen!$M$4:M42)-1</f>
        <v>-2.6138518177093339E-2</v>
      </c>
      <c r="N40" s="166" cm="1">
        <f t="array" ref="N40">PRODUCT(1+Renditen!$N$4:N42)-1</f>
        <v>-3.4936166595557205E-2</v>
      </c>
      <c r="O40" s="166" cm="1">
        <f t="array" ref="O40">PRODUCT(1+Renditen!$O$4:O42)-1</f>
        <v>-3.4030396448694322E-3</v>
      </c>
      <c r="P40" s="166" cm="1">
        <f t="array" ref="P40">PRODUCT(1+Renditen!$P$4:P42)-1</f>
        <v>0.58071975161423395</v>
      </c>
      <c r="Q40" s="166" cm="1">
        <f t="array" ref="Q40">PRODUCT(1+Renditen!$Q$4:Q42)-1</f>
        <v>0.62793301233098764</v>
      </c>
      <c r="R40" s="166" cm="1">
        <f t="array" ref="R40">PRODUCT(1+Renditen!$R$4:R42)-1</f>
        <v>0.18569952853750826</v>
      </c>
      <c r="S40" s="166" cm="1">
        <f t="array" ref="S40">PRODUCT(1+Renditen!$S$4:S42)-1</f>
        <v>0.96355519963096747</v>
      </c>
      <c r="T40" s="166" cm="1">
        <f t="array" ref="T40">PRODUCT(1+Renditen!$T$4:T42)-1</f>
        <v>0.18256309164841467</v>
      </c>
      <c r="U40" s="166" cm="1">
        <f t="array" ref="U40">PRODUCT(1+Renditen!$U$4:U42)-1</f>
        <v>0.31965145626121805</v>
      </c>
    </row>
    <row r="41" spans="1:21" x14ac:dyDescent="0.25">
      <c r="A41" s="165">
        <v>44652</v>
      </c>
      <c r="B41" s="166" cm="1">
        <f t="array" ref="B41">PRODUCT(1+Renditen!$B$4:B43)-1</f>
        <v>-6.8323550262484933E-2</v>
      </c>
      <c r="C41" s="166" cm="1">
        <f t="array" ref="C41">PRODUCT(1+Renditen!$C$4:C43)-1</f>
        <v>-6.3080460173349895E-2</v>
      </c>
      <c r="D41" s="166" cm="1">
        <f t="array" ref="D41">PRODUCT(1+Renditen!$D$4:D43)-1</f>
        <v>-1.7314854035732186E-2</v>
      </c>
      <c r="E41" s="166" cm="1">
        <f t="array" ref="E41">PRODUCT(1+Renditen!$E$4:E43)-1</f>
        <v>0.58782778501944422</v>
      </c>
      <c r="F41" s="166" cm="1">
        <f t="array" ref="F41">PRODUCT(1+Renditen!$F$4:F43)-1</f>
        <v>0.5044985768862198</v>
      </c>
      <c r="G41" s="166" cm="1">
        <f t="array" ref="G41">PRODUCT(1+Renditen!$G$4:G43)-1</f>
        <v>0.17328575280093927</v>
      </c>
      <c r="H41" s="166" cm="1">
        <f t="array" ref="H41">PRODUCT(1+Renditen!$H$4:H43)-1</f>
        <v>0.80649080597506551</v>
      </c>
      <c r="I41" s="166" cm="1">
        <f t="array" ref="I41">PRODUCT(1+Renditen!$I$4:I43)-1</f>
        <v>0.20274570358310662</v>
      </c>
      <c r="J41" s="166" cm="1">
        <f t="array" ref="J41">PRODUCT(1+Renditen!$J$4:J43)-1</f>
        <v>0.20640703574948738</v>
      </c>
      <c r="L41" s="165">
        <v>44652</v>
      </c>
      <c r="M41" s="166" cm="1">
        <f t="array" ref="M41">PRODUCT(1+Renditen!$M$4:M43)-1</f>
        <v>-2.6755861338461751E-2</v>
      </c>
      <c r="N41" s="166" cm="1">
        <f t="array" ref="N41">PRODUCT(1+Renditen!$N$4:N43)-1</f>
        <v>-4.632673308731039E-2</v>
      </c>
      <c r="O41" s="166" cm="1">
        <f t="array" ref="O41">PRODUCT(1+Renditen!$O$4:O43)-1</f>
        <v>-3.2949198462109419E-2</v>
      </c>
      <c r="P41" s="166" cm="1">
        <f t="array" ref="P41">PRODUCT(1+Renditen!$P$4:P43)-1</f>
        <v>0.58728227516441867</v>
      </c>
      <c r="Q41" s="166" cm="1">
        <f t="array" ref="Q41">PRODUCT(1+Renditen!$Q$4:Q43)-1</f>
        <v>0.50502009074333598</v>
      </c>
      <c r="R41" s="166" cm="1">
        <f t="array" ref="R41">PRODUCT(1+Renditen!$R$4:R43)-1</f>
        <v>0.18106833759287055</v>
      </c>
      <c r="S41" s="166" cm="1">
        <f t="array" ref="S41">PRODUCT(1+Renditen!$S$4:S43)-1</f>
        <v>0.79532350623212777</v>
      </c>
      <c r="T41" s="166" cm="1">
        <f t="array" ref="T41">PRODUCT(1+Renditen!$T$4:T43)-1</f>
        <v>0.18602933259996046</v>
      </c>
      <c r="U41" s="166" cm="1">
        <f t="array" ref="U41">PRODUCT(1+Renditen!$U$4:U43)-1</f>
        <v>0.26628066968806019</v>
      </c>
    </row>
    <row r="42" spans="1:21" x14ac:dyDescent="0.25">
      <c r="A42" s="165">
        <v>44682</v>
      </c>
      <c r="B42" s="166" cm="1">
        <f t="array" ref="B42">PRODUCT(1+Renditen!$B$4:B44)-1</f>
        <v>-6.8548156662017967E-2</v>
      </c>
      <c r="C42" s="166" cm="1">
        <f t="array" ref="C42">PRODUCT(1+Renditen!$C$4:C44)-1</f>
        <v>-6.8608285458327201E-2</v>
      </c>
      <c r="D42" s="166" cm="1">
        <f t="array" ref="D42">PRODUCT(1+Renditen!$D$4:D44)-1</f>
        <v>-1.7113727737717577E-2</v>
      </c>
      <c r="E42" s="166" cm="1">
        <f t="array" ref="E42">PRODUCT(1+Renditen!$E$4:E44)-1</f>
        <v>0.51828092803559267</v>
      </c>
      <c r="F42" s="166" cm="1">
        <f t="array" ref="F42">PRODUCT(1+Renditen!$F$4:F44)-1</f>
        <v>0.50164002959013598</v>
      </c>
      <c r="G42" s="166" cm="1">
        <f t="array" ref="G42">PRODUCT(1+Renditen!$G$4:G44)-1</f>
        <v>0.16448610965493238</v>
      </c>
      <c r="H42" s="166" cm="1">
        <f t="array" ref="H42">PRODUCT(1+Renditen!$H$4:H44)-1</f>
        <v>0.78223651754208934</v>
      </c>
      <c r="I42" s="166" cm="1">
        <f t="array" ref="I42">PRODUCT(1+Renditen!$I$4:I44)-1</f>
        <v>0.20635394069385571</v>
      </c>
      <c r="J42" s="166" cm="1">
        <f t="array" ref="J42">PRODUCT(1+Renditen!$J$4:J44)-1</f>
        <v>0.20234163872861366</v>
      </c>
      <c r="L42" s="165">
        <v>44682</v>
      </c>
      <c r="M42" s="166" cm="1">
        <f t="array" ref="M42">PRODUCT(1+Renditen!$M$4:M44)-1</f>
        <v>-2.736196440574612E-2</v>
      </c>
      <c r="N42" s="166" cm="1">
        <f t="array" ref="N42">PRODUCT(1+Renditen!$N$4:N44)-1</f>
        <v>-4.9766837028612843E-2</v>
      </c>
      <c r="O42" s="166" cm="1">
        <f t="array" ref="O42">PRODUCT(1+Renditen!$O$4:O44)-1</f>
        <v>-4.0766375568394131E-2</v>
      </c>
      <c r="P42" s="166" cm="1">
        <f t="array" ref="P42">PRODUCT(1+Renditen!$P$4:P44)-1</f>
        <v>0.51768961759826393</v>
      </c>
      <c r="Q42" s="166" cm="1">
        <f t="array" ref="Q42">PRODUCT(1+Renditen!$Q$4:Q44)-1</f>
        <v>0.50211464659861771</v>
      </c>
      <c r="R42" s="166" cm="1">
        <f t="array" ref="R42">PRODUCT(1+Renditen!$R$4:R44)-1</f>
        <v>0.17148113382361463</v>
      </c>
      <c r="S42" s="166" cm="1">
        <f t="array" ref="S42">PRODUCT(1+Renditen!$S$4:S44)-1</f>
        <v>0.82722019257994406</v>
      </c>
      <c r="T42" s="166" cm="1">
        <f t="array" ref="T42">PRODUCT(1+Renditen!$T$4:T44)-1</f>
        <v>0.18976016754909741</v>
      </c>
      <c r="U42" s="166" cm="1">
        <f t="array" ref="U42">PRODUCT(1+Renditen!$U$4:U44)-1</f>
        <v>0.20769318974754092</v>
      </c>
    </row>
    <row r="43" spans="1:21" x14ac:dyDescent="0.25">
      <c r="A43" s="165">
        <v>44713</v>
      </c>
      <c r="B43" s="166" cm="1">
        <f t="array" ref="B43">PRODUCT(1+Renditen!$B$4:B45)-1</f>
        <v>-7.4816848622715537E-2</v>
      </c>
      <c r="C43" s="166" cm="1">
        <f t="array" ref="C43">PRODUCT(1+Renditen!$C$4:C45)-1</f>
        <v>-8.7049841406252382E-2</v>
      </c>
      <c r="D43" s="166" cm="1">
        <f t="array" ref="D43">PRODUCT(1+Renditen!$D$4:D45)-1</f>
        <v>-7.1177857013033807E-2</v>
      </c>
      <c r="E43" s="166" cm="1">
        <f t="array" ref="E43">PRODUCT(1+Renditen!$E$4:E45)-1</f>
        <v>0.40790190456740505</v>
      </c>
      <c r="F43" s="166" cm="1">
        <f t="array" ref="F43">PRODUCT(1+Renditen!$F$4:F45)-1</f>
        <v>0.38376128726731018</v>
      </c>
      <c r="G43" s="166" cm="1">
        <f t="array" ref="G43">PRODUCT(1+Renditen!$G$4:G45)-1</f>
        <v>8.6581988919017361E-2</v>
      </c>
      <c r="H43" s="166" cm="1">
        <f t="array" ref="H43">PRODUCT(1+Renditen!$H$4:H45)-1</f>
        <v>0.7607479159433399</v>
      </c>
      <c r="I43" s="166" cm="1">
        <f t="array" ref="I43">PRODUCT(1+Renditen!$I$4:I45)-1</f>
        <v>0.2099730025159372</v>
      </c>
      <c r="J43" s="166" cm="1">
        <f t="array" ref="J43">PRODUCT(1+Renditen!$J$4:J45)-1</f>
        <v>0.19706311599726711</v>
      </c>
      <c r="L43" s="165">
        <v>44713</v>
      </c>
      <c r="M43" s="166" cm="1">
        <f t="array" ref="M43">PRODUCT(1+Renditen!$M$4:M45)-1</f>
        <v>-2.7889386426080742E-2</v>
      </c>
      <c r="N43" s="166" cm="1">
        <f t="array" ref="N43">PRODUCT(1+Renditen!$N$4:N45)-1</f>
        <v>-6.2533445063462922E-2</v>
      </c>
      <c r="O43" s="166" cm="1">
        <f t="array" ref="O43">PRODUCT(1+Renditen!$O$4:O45)-1</f>
        <v>-5.363443919644062E-2</v>
      </c>
      <c r="P43" s="166" cm="1">
        <f t="array" ref="P43">PRODUCT(1+Renditen!$P$4:P45)-1</f>
        <v>0.40735051484461504</v>
      </c>
      <c r="Q43" s="166" cm="1">
        <f t="array" ref="Q43">PRODUCT(1+Renditen!$Q$4:Q45)-1</f>
        <v>0.38400202408909601</v>
      </c>
      <c r="R43" s="166" cm="1">
        <f t="array" ref="R43">PRODUCT(1+Renditen!$R$4:R45)-1</f>
        <v>9.2266760641740886E-2</v>
      </c>
      <c r="S43" s="166" cm="1">
        <f t="array" ref="S43">PRODUCT(1+Renditen!$S$4:S45)-1</f>
        <v>0.55780327158059317</v>
      </c>
      <c r="T43" s="166" cm="1">
        <f t="array" ref="T43">PRODUCT(1+Renditen!$T$4:T45)-1</f>
        <v>0.19400208181789313</v>
      </c>
      <c r="U43" s="166" cm="1">
        <f t="array" ref="U43">PRODUCT(1+Renditen!$U$4:U45)-1</f>
        <v>0.117404265172252</v>
      </c>
    </row>
    <row r="44" spans="1:21" x14ac:dyDescent="0.25">
      <c r="A44" s="165">
        <v>44743</v>
      </c>
      <c r="B44" s="166" cm="1">
        <f t="array" ref="B44">PRODUCT(1+Renditen!$B$4:B46)-1</f>
        <v>-7.3565507697768928E-2</v>
      </c>
      <c r="C44" s="166" cm="1">
        <f t="array" ref="C44">PRODUCT(1+Renditen!$C$4:C46)-1</f>
        <v>-5.3361980554143207E-2</v>
      </c>
      <c r="D44" s="166" cm="1">
        <f t="array" ref="D44">PRODUCT(1+Renditen!$D$4:D46)-1</f>
        <v>-5.1694664041408767E-2</v>
      </c>
      <c r="E44" s="166" cm="1">
        <f t="array" ref="E44">PRODUCT(1+Renditen!$E$4:E46)-1</f>
        <v>0.47027195893974105</v>
      </c>
      <c r="F44" s="166" cm="1">
        <f t="array" ref="F44">PRODUCT(1+Renditen!$F$4:F46)-1</f>
        <v>0.49377030960506119</v>
      </c>
      <c r="G44" s="166" cm="1">
        <f t="array" ref="G44">PRODUCT(1+Renditen!$G$4:G46)-1</f>
        <v>7.6476776422070625E-2</v>
      </c>
      <c r="H44" s="166" cm="1">
        <f t="array" ref="H44">PRODUCT(1+Renditen!$H$4:H46)-1</f>
        <v>0.75104620056088556</v>
      </c>
      <c r="I44" s="166" cm="1">
        <f t="array" ref="I44">PRODUCT(1+Renditen!$I$4:I46)-1</f>
        <v>0.21360292152348492</v>
      </c>
      <c r="J44" s="166" cm="1">
        <f t="array" ref="J44">PRODUCT(1+Renditen!$J$4:J46)-1</f>
        <v>0.23171809320538794</v>
      </c>
      <c r="L44" s="165">
        <v>44743</v>
      </c>
      <c r="M44" s="166" cm="1">
        <f t="array" ref="M44">PRODUCT(1+Renditen!$M$4:M46)-1</f>
        <v>-2.8319105686956725E-2</v>
      </c>
      <c r="N44" s="166" cm="1">
        <f t="array" ref="N44">PRODUCT(1+Renditen!$N$4:N46)-1</f>
        <v>-4.3880436872065443E-2</v>
      </c>
      <c r="O44" s="166" cm="1">
        <f t="array" ref="O44">PRODUCT(1+Renditen!$O$4:O46)-1</f>
        <v>-3.338150982798993E-2</v>
      </c>
      <c r="P44" s="166" cm="1">
        <f t="array" ref="P44">PRODUCT(1+Renditen!$P$4:P46)-1</f>
        <v>0.46961361392922019</v>
      </c>
      <c r="Q44" s="166" cm="1">
        <f t="array" ref="Q44">PRODUCT(1+Renditen!$Q$4:Q46)-1</f>
        <v>0.49327199035852698</v>
      </c>
      <c r="R44" s="166" cm="1">
        <f t="array" ref="R44">PRODUCT(1+Renditen!$R$4:R46)-1</f>
        <v>8.3949531006686895E-2</v>
      </c>
      <c r="S44" s="166" cm="1">
        <f t="array" ref="S44">PRODUCT(1+Renditen!$S$4:S46)-1</f>
        <v>0.77291495685152278</v>
      </c>
      <c r="T44" s="166" cm="1">
        <f t="array" ref="T44">PRODUCT(1+Renditen!$T$4:T46)-1</f>
        <v>0.19950565519432018</v>
      </c>
      <c r="U44" s="166" cm="1">
        <f t="array" ref="U44">PRODUCT(1+Renditen!$U$4:U46)-1</f>
        <v>0.20293510676196935</v>
      </c>
    </row>
    <row r="45" spans="1:21" x14ac:dyDescent="0.25">
      <c r="A45" s="165">
        <v>44774</v>
      </c>
      <c r="B45" s="166" cm="1">
        <f t="array" ref="B45">PRODUCT(1+Renditen!$B$4:B47)-1</f>
        <v>-7.3755120572821409E-2</v>
      </c>
      <c r="C45" s="166" cm="1">
        <f t="array" ref="C45">PRODUCT(1+Renditen!$C$4:C47)-1</f>
        <v>-8.2423767751130916E-2</v>
      </c>
      <c r="D45" s="166" cm="1">
        <f t="array" ref="D45">PRODUCT(1+Renditen!$D$4:D47)-1</f>
        <v>-6.053061064240417E-2</v>
      </c>
      <c r="E45" s="166" cm="1">
        <f t="array" ref="E45">PRODUCT(1+Renditen!$E$4:E47)-1</f>
        <v>0.42528163699618493</v>
      </c>
      <c r="F45" s="166" cm="1">
        <f t="array" ref="F45">PRODUCT(1+Renditen!$F$4:F47)-1</f>
        <v>0.43865018518063437</v>
      </c>
      <c r="G45" s="166" cm="1">
        <f t="array" ref="G45">PRODUCT(1+Renditen!$G$4:G47)-1</f>
        <v>0.10629518312896202</v>
      </c>
      <c r="H45" s="166" cm="1">
        <f t="array" ref="H45">PRODUCT(1+Renditen!$H$4:H47)-1</f>
        <v>0.79469519057241689</v>
      </c>
      <c r="I45" s="166" cm="1">
        <f t="array" ref="I45">PRODUCT(1+Renditen!$I$4:I47)-1</f>
        <v>0.21724373028805521</v>
      </c>
      <c r="J45" s="166" cm="1">
        <f t="array" ref="J45">PRODUCT(1+Renditen!$J$4:J47)-1</f>
        <v>0.21026156402175</v>
      </c>
      <c r="L45" s="165">
        <v>44774</v>
      </c>
      <c r="M45" s="166" cm="1">
        <f t="array" ref="M45">PRODUCT(1+Renditen!$M$4:M47)-1</f>
        <v>-2.8570711960385409E-2</v>
      </c>
      <c r="N45" s="166" cm="1">
        <f t="array" ref="N45">PRODUCT(1+Renditen!$N$4:N47)-1</f>
        <v>-6.6279336003623568E-2</v>
      </c>
      <c r="O45" s="166" cm="1">
        <f t="array" ref="O45">PRODUCT(1+Renditen!$O$4:O47)-1</f>
        <v>-6.535832155944743E-2</v>
      </c>
      <c r="P45" s="166" cm="1">
        <f t="array" ref="P45">PRODUCT(1+Renditen!$P$4:P47)-1</f>
        <v>0.42457930075956973</v>
      </c>
      <c r="Q45" s="166" cm="1">
        <f t="array" ref="Q45">PRODUCT(1+Renditen!$Q$4:Q47)-1</f>
        <v>0.43800538892154739</v>
      </c>
      <c r="R45" s="166" cm="1">
        <f t="array" ref="R45">PRODUCT(1+Renditen!$R$4:R47)-1</f>
        <v>0.11539029773099529</v>
      </c>
      <c r="S45" s="166" cm="1">
        <f t="array" ref="S45">PRODUCT(1+Renditen!$S$4:S47)-1</f>
        <v>0.68305270373194693</v>
      </c>
      <c r="T45" s="166" cm="1">
        <f t="array" ref="T45">PRODUCT(1+Renditen!$T$4:T47)-1</f>
        <v>0.20535741690416009</v>
      </c>
      <c r="U45" s="166" cm="1">
        <f t="array" ref="U45">PRODUCT(1+Renditen!$U$4:U47)-1</f>
        <v>0.13196514573593254</v>
      </c>
    </row>
    <row r="46" spans="1:21" x14ac:dyDescent="0.25">
      <c r="A46" s="165">
        <v>44805</v>
      </c>
      <c r="B46" s="166" cm="1">
        <f t="array" ref="B46">PRODUCT(1+Renditen!$B$4:B48)-1</f>
        <v>-7.3899379381740293E-2</v>
      </c>
      <c r="C46" s="166" cm="1">
        <f t="array" ref="C46">PRODUCT(1+Renditen!$C$4:C48)-1</f>
        <v>-0.10233517199093145</v>
      </c>
      <c r="D46" s="166" cm="1">
        <f t="array" ref="D46">PRODUCT(1+Renditen!$D$4:D48)-1</f>
        <v>-0.11263074837922316</v>
      </c>
      <c r="E46" s="166" cm="1">
        <f t="array" ref="E46">PRODUCT(1+Renditen!$E$4:E48)-1</f>
        <v>0.34004979510381306</v>
      </c>
      <c r="F46" s="166" cm="1">
        <f t="array" ref="F46">PRODUCT(1+Renditen!$F$4:F48)-1</f>
        <v>0.31535786431065405</v>
      </c>
      <c r="G46" s="166" cm="1">
        <f t="array" ref="G46">PRODUCT(1+Renditen!$G$4:G48)-1</f>
        <v>-1.5065398460285095E-2</v>
      </c>
      <c r="H46" s="166" cm="1">
        <f t="array" ref="H46">PRODUCT(1+Renditen!$H$4:H48)-1</f>
        <v>0.72858917345679708</v>
      </c>
      <c r="I46" s="166" cm="1">
        <f t="array" ref="I46">PRODUCT(1+Renditen!$I$4:I48)-1</f>
        <v>0.22089546147891914</v>
      </c>
      <c r="J46" s="166" cm="1">
        <f t="array" ref="J46">PRODUCT(1+Renditen!$J$4:J48)-1</f>
        <v>0.20094254997878247</v>
      </c>
      <c r="L46" s="165">
        <v>44805</v>
      </c>
      <c r="M46" s="166" cm="1">
        <f t="array" ref="M46">PRODUCT(1+Renditen!$M$4:M48)-1</f>
        <v>-2.8635558945365069E-2</v>
      </c>
      <c r="N46" s="166" cm="1">
        <f t="array" ref="N46">PRODUCT(1+Renditen!$N$4:N48)-1</f>
        <v>-8.1568686941773105E-2</v>
      </c>
      <c r="O46" s="166" cm="1">
        <f t="array" ref="O46">PRODUCT(1+Renditen!$O$4:O48)-1</f>
        <v>-9.7190959753682638E-2</v>
      </c>
      <c r="P46" s="166" cm="1">
        <f t="array" ref="P46">PRODUCT(1+Renditen!$P$4:P48)-1</f>
        <v>0.33939975956461343</v>
      </c>
      <c r="Q46" s="166" cm="1">
        <f t="array" ref="Q46">PRODUCT(1+Renditen!$Q$4:Q48)-1</f>
        <v>0.31458717263649483</v>
      </c>
      <c r="R46" s="166" cm="1">
        <f t="array" ref="R46">PRODUCT(1+Renditen!$R$4:R48)-1</f>
        <v>-6.9960311805005171E-3</v>
      </c>
      <c r="S46" s="166" cm="1">
        <f t="array" ref="S46">PRODUCT(1+Renditen!$S$4:S48)-1</f>
        <v>0.44479181241898536</v>
      </c>
      <c r="T46" s="166" cm="1">
        <f t="array" ref="T46">PRODUCT(1+Renditen!$T$4:T48)-1</f>
        <v>0.20909273649002014</v>
      </c>
      <c r="U46" s="166" cm="1">
        <f t="array" ref="U46">PRODUCT(1+Renditen!$U$4:U48)-1</f>
        <v>4.4141253433802596E-3</v>
      </c>
    </row>
    <row r="47" spans="1:21" x14ac:dyDescent="0.25">
      <c r="A47" s="165">
        <v>44835</v>
      </c>
      <c r="B47" s="166" cm="1">
        <f t="array" ref="B47">PRODUCT(1+Renditen!$B$4:B49)-1</f>
        <v>-7.3635031530283612E-2</v>
      </c>
      <c r="C47" s="166" cm="1">
        <f t="array" ref="C47">PRODUCT(1+Renditen!$C$4:C49)-1</f>
        <v>-9.618616791906931E-2</v>
      </c>
      <c r="D47" s="166" cm="1">
        <f t="array" ref="D47">PRODUCT(1+Renditen!$D$4:D49)-1</f>
        <v>-0.11503749530921814</v>
      </c>
      <c r="E47" s="166" cm="1">
        <f t="array" ref="E47">PRODUCT(1+Renditen!$E$4:E49)-1</f>
        <v>0.40477420020732735</v>
      </c>
      <c r="F47" s="166" cm="1">
        <f t="array" ref="F47">PRODUCT(1+Renditen!$F$4:F49)-1</f>
        <v>0.40769598638526205</v>
      </c>
      <c r="G47" s="166" cm="1">
        <f t="array" ref="G47">PRODUCT(1+Renditen!$G$4:G49)-1</f>
        <v>-2.905146980214901E-2</v>
      </c>
      <c r="H47" s="166" cm="1">
        <f t="array" ref="H47">PRODUCT(1+Renditen!$H$4:H49)-1</f>
        <v>0.75725808764413238</v>
      </c>
      <c r="I47" s="166" cm="1">
        <f t="array" ref="I47">PRODUCT(1+Renditen!$I$4:I49)-1</f>
        <v>0.22455814786335582</v>
      </c>
      <c r="J47" s="166" cm="1">
        <f t="array" ref="J47">PRODUCT(1+Renditen!$J$4:J49)-1</f>
        <v>0.17770431163669298</v>
      </c>
      <c r="L47" s="165">
        <v>44835</v>
      </c>
      <c r="M47" s="166" cm="1">
        <f t="array" ref="M47">PRODUCT(1+Renditen!$M$4:M49)-1</f>
        <v>-2.8568118083587057E-2</v>
      </c>
      <c r="N47" s="166" cm="1">
        <f t="array" ref="N47">PRODUCT(1+Renditen!$N$4:N49)-1</f>
        <v>-7.4688478999826335E-2</v>
      </c>
      <c r="O47" s="166" cm="1">
        <f t="array" ref="O47">PRODUCT(1+Renditen!$O$4:O49)-1</f>
        <v>-0.10295769195101112</v>
      </c>
      <c r="P47" s="166" cm="1">
        <f t="array" ref="P47">PRODUCT(1+Renditen!$P$4:P49)-1</f>
        <v>0.40417047309469556</v>
      </c>
      <c r="Q47" s="166" cm="1">
        <f t="array" ref="Q47">PRODUCT(1+Renditen!$Q$4:Q49)-1</f>
        <v>0.40768771038066687</v>
      </c>
      <c r="R47" s="166" cm="1">
        <f t="array" ref="R47">PRODUCT(1+Renditen!$R$4:R49)-1</f>
        <v>-2.1696059867597373E-2</v>
      </c>
      <c r="S47" s="166" cm="1">
        <f t="array" ref="S47">PRODUCT(1+Renditen!$S$4:S49)-1</f>
        <v>0.6209829906589861</v>
      </c>
      <c r="T47" s="166" cm="1">
        <f t="array" ref="T47">PRODUCT(1+Renditen!$T$4:T49)-1</f>
        <v>0.21478882581352354</v>
      </c>
      <c r="U47" s="166" cm="1">
        <f t="array" ref="U47">PRODUCT(1+Renditen!$U$4:U49)-1</f>
        <v>3.3765191651403681E-2</v>
      </c>
    </row>
    <row r="48" spans="1:21" x14ac:dyDescent="0.25">
      <c r="A48" s="165">
        <v>44866</v>
      </c>
      <c r="B48" s="166" cm="1">
        <f t="array" ref="B48">PRODUCT(1+Renditen!$B$4:B50)-1</f>
        <v>-7.4969902024736634E-2</v>
      </c>
      <c r="C48" s="166" cm="1">
        <f t="array" ref="C48">PRODUCT(1+Renditen!$C$4:C50)-1</f>
        <v>-8.290010458747965E-2</v>
      </c>
      <c r="D48" s="166" cm="1">
        <f t="array" ref="D48">PRODUCT(1+Renditen!$D$4:D50)-1</f>
        <v>-6.4562953333498818E-2</v>
      </c>
      <c r="E48" s="166" cm="1">
        <f t="array" ref="E48">PRODUCT(1+Renditen!$E$4:E50)-1</f>
        <v>0.44509121975327748</v>
      </c>
      <c r="F48" s="166" cm="1">
        <f t="array" ref="F48">PRODUCT(1+Renditen!$F$4:F50)-1</f>
        <v>0.48272618245959631</v>
      </c>
      <c r="G48" s="166" cm="1">
        <f t="array" ref="G48">PRODUCT(1+Renditen!$G$4:G50)-1</f>
        <v>6.0955458947191676E-2</v>
      </c>
      <c r="H48" s="166" cm="1">
        <f t="array" ref="H48">PRODUCT(1+Renditen!$H$4:H50)-1</f>
        <v>0.67270834454641881</v>
      </c>
      <c r="I48" s="166" cm="1">
        <f t="array" ref="I48">PRODUCT(1+Renditen!$I$4:I50)-1</f>
        <v>0.22823182230694572</v>
      </c>
      <c r="J48" s="166" cm="1">
        <f t="array" ref="J48">PRODUCT(1+Renditen!$J$4:J50)-1</f>
        <v>0.17272262239846992</v>
      </c>
      <c r="L48" s="165">
        <v>44866</v>
      </c>
      <c r="M48" s="166" cm="1">
        <f t="array" ref="M48">PRODUCT(1+Renditen!$M$4:M50)-1</f>
        <v>-2.8422860845715991E-2</v>
      </c>
      <c r="N48" s="166" cm="1">
        <f t="array" ref="N48">PRODUCT(1+Renditen!$N$4:N50)-1</f>
        <v>-6.3603699548109183E-2</v>
      </c>
      <c r="O48" s="166" cm="1">
        <f t="array" ref="O48">PRODUCT(1+Renditen!$O$4:O50)-1</f>
        <v>-8.7425661300059909E-2</v>
      </c>
      <c r="P48" s="166" cm="1">
        <f t="array" ref="P48">PRODUCT(1+Renditen!$P$4:P50)-1</f>
        <v>0.44449983017792793</v>
      </c>
      <c r="Q48" s="166" cm="1">
        <f t="array" ref="Q48">PRODUCT(1+Renditen!$Q$4:Q50)-1</f>
        <v>0.48221867006679853</v>
      </c>
      <c r="R48" s="166" cm="1">
        <f t="array" ref="R48">PRODUCT(1+Renditen!$R$4:R50)-1</f>
        <v>6.9519530391320972E-2</v>
      </c>
      <c r="S48" s="166" cm="1">
        <f t="array" ref="S48">PRODUCT(1+Renditen!$S$4:S50)-1</f>
        <v>0.69741946791384857</v>
      </c>
      <c r="T48" s="166" cm="1">
        <f t="array" ref="T48">PRODUCT(1+Renditen!$T$4:T50)-1</f>
        <v>0.21994505250053842</v>
      </c>
      <c r="U48" s="166" cm="1">
        <f t="array" ref="U48">PRODUCT(1+Renditen!$U$4:U50)-1</f>
        <v>8.2951158184010332E-2</v>
      </c>
    </row>
    <row r="49" spans="1:21" x14ac:dyDescent="0.25">
      <c r="A49" s="165">
        <v>44896</v>
      </c>
      <c r="B49" s="166" cm="1">
        <f t="array" ref="B49">PRODUCT(1+Renditen!$B$4:B51)-1</f>
        <v>-7.8633998967702845E-2</v>
      </c>
      <c r="C49" s="166" cm="1">
        <f t="array" ref="C49">PRODUCT(1+Renditen!$C$4:C51)-1</f>
        <v>-0.11041310144985528</v>
      </c>
      <c r="D49" s="166" cm="1">
        <f t="array" ref="D49">PRODUCT(1+Renditen!$D$4:D51)-1</f>
        <v>-6.8644308521464303E-2</v>
      </c>
      <c r="E49" s="166" cm="1">
        <f t="array" ref="E49">PRODUCT(1+Renditen!$E$4:E51)-1</f>
        <v>0.39783673686734544</v>
      </c>
      <c r="F49" s="166" cm="1">
        <f t="array" ref="F49">PRODUCT(1+Renditen!$F$4:F51)-1</f>
        <v>0.40221415075204026</v>
      </c>
      <c r="G49" s="166" cm="1">
        <f t="array" ref="G49">PRODUCT(1+Renditen!$G$4:G51)-1</f>
        <v>1.6289234125514973E-2</v>
      </c>
      <c r="H49" s="166" cm="1">
        <f t="array" ref="H49">PRODUCT(1+Renditen!$H$4:H51)-1</f>
        <v>0.60743116050301738</v>
      </c>
      <c r="I49" s="166" cm="1">
        <f t="array" ref="I49">PRODUCT(1+Renditen!$I$4:I51)-1</f>
        <v>0.22909158458256051</v>
      </c>
      <c r="J49" s="166" cm="1">
        <f t="array" ref="J49">PRODUCT(1+Renditen!$J$4:J51)-1</f>
        <v>0.17936023244124533</v>
      </c>
      <c r="L49" s="165">
        <v>44896</v>
      </c>
      <c r="M49" s="166" cm="1">
        <f t="array" ref="M49">PRODUCT(1+Renditen!$M$4:M51)-1</f>
        <v>-2.8138398798921327E-2</v>
      </c>
      <c r="N49" s="166" cm="1">
        <f t="array" ref="N49">PRODUCT(1+Renditen!$N$4:N51)-1</f>
        <v>-7.87401570468097E-2</v>
      </c>
      <c r="O49" s="166" cm="1">
        <f t="array" ref="O49">PRODUCT(1+Renditen!$O$4:O51)-1</f>
        <v>-0.10966333082522794</v>
      </c>
      <c r="P49" s="166" cm="1">
        <f t="array" ref="P49">PRODUCT(1+Renditen!$P$4:P51)-1</f>
        <v>0.39723053573282452</v>
      </c>
      <c r="Q49" s="166" cm="1">
        <f t="array" ref="Q49">PRODUCT(1+Renditen!$Q$4:Q51)-1</f>
        <v>0.40149785103102009</v>
      </c>
      <c r="R49" s="166" cm="1">
        <f t="array" ref="R49">PRODUCT(1+Renditen!$R$4:R51)-1</f>
        <v>2.3995391473232042E-2</v>
      </c>
      <c r="S49" s="166" cm="1">
        <f t="array" ref="S49">PRODUCT(1+Renditen!$S$4:S51)-1</f>
        <v>0.55040724391778606</v>
      </c>
      <c r="T49" s="166" cm="1">
        <f t="array" ref="T49">PRODUCT(1+Renditen!$T$4:T51)-1</f>
        <v>0.22511914787030252</v>
      </c>
      <c r="U49" s="166" cm="1">
        <f t="array" ref="U49">PRODUCT(1+Renditen!$U$4:U51)-1</f>
        <v>4.0415042553756608E-2</v>
      </c>
    </row>
    <row r="50" spans="1:21" x14ac:dyDescent="0.25">
      <c r="A50" s="165">
        <v>44927</v>
      </c>
      <c r="B50" s="166" cm="1">
        <f t="array" ref="B50">PRODUCT(1+Renditen!$B$4:B52)-1</f>
        <v>-7.9701808495159621E-2</v>
      </c>
      <c r="C50" s="166" cm="1">
        <f t="array" ref="C50">PRODUCT(1+Renditen!$C$4:C52)-1</f>
        <v>-8.8173428986101698E-2</v>
      </c>
      <c r="D50" s="166" cm="1">
        <f t="array" ref="D50">PRODUCT(1+Renditen!$D$4:D52)-1</f>
        <v>-4.1186239402012159E-2</v>
      </c>
      <c r="E50" s="166" cm="1">
        <f t="array" ref="E50">PRODUCT(1+Renditen!$E$4:E52)-1</f>
        <v>0.47373927167924235</v>
      </c>
      <c r="F50" s="166" cm="1">
        <f t="array" ref="F50">PRODUCT(1+Renditen!$F$4:F52)-1</f>
        <v>0.49055364224941878</v>
      </c>
      <c r="G50" s="166" cm="1">
        <f t="array" ref="G50">PRODUCT(1+Renditen!$G$4:G52)-1</f>
        <v>9.0783234986915096E-2</v>
      </c>
      <c r="H50" s="166" cm="1">
        <f t="array" ref="H50">PRODUCT(1+Renditen!$H$4:H52)-1</f>
        <v>0.59614157542733026</v>
      </c>
      <c r="I50" s="166" cm="1">
        <f t="array" ref="I50">PRODUCT(1+Renditen!$I$4:I52)-1</f>
        <v>0.23265595017784979</v>
      </c>
      <c r="J50" s="166" cm="1">
        <f t="array" ref="J50">PRODUCT(1+Renditen!$J$4:J52)-1</f>
        <v>0.13653766240130372</v>
      </c>
      <c r="L50" s="165">
        <v>44927</v>
      </c>
      <c r="M50" s="166" cm="1">
        <f t="array" ref="M50">PRODUCT(1+Renditen!$M$4:M52)-1</f>
        <v>-2.7669771313826974E-2</v>
      </c>
      <c r="N50" s="166" cm="1">
        <f t="array" ref="N50">PRODUCT(1+Renditen!$N$4:N52)-1</f>
        <v>-6.3603699554647841E-2</v>
      </c>
      <c r="O50" s="166" cm="1">
        <f t="array" ref="O50">PRODUCT(1+Renditen!$O$4:O52)-1</f>
        <v>-9.2665500981033433E-2</v>
      </c>
      <c r="P50" s="166" cm="1">
        <f t="array" ref="P50">PRODUCT(1+Renditen!$P$4:P52)-1</f>
        <v>0.47408052440103621</v>
      </c>
      <c r="Q50" s="166" cm="1">
        <f t="array" ref="Q50">PRODUCT(1+Renditen!$Q$4:Q52)-1</f>
        <v>0.48891382406484518</v>
      </c>
      <c r="R50" s="166" cm="1">
        <f t="array" ref="R50">PRODUCT(1+Renditen!$R$4:R52)-1</f>
        <v>9.7149608416141842E-2</v>
      </c>
      <c r="S50" s="166" cm="1">
        <f t="array" ref="S50">PRODUCT(1+Renditen!$S$4:S52)-1</f>
        <v>0.72194279407892736</v>
      </c>
      <c r="T50" s="166" cm="1">
        <f t="array" ref="T50">PRODUCT(1+Renditen!$T$4:T52)-1</f>
        <v>0.22878285651351993</v>
      </c>
      <c r="U50" s="166" cm="1">
        <f t="array" ref="U50">PRODUCT(1+Renditen!$U$4:U52)-1</f>
        <v>0.12451272660883217</v>
      </c>
    </row>
    <row r="51" spans="1:21" x14ac:dyDescent="0.25">
      <c r="A51" s="165">
        <v>44958</v>
      </c>
      <c r="B51" s="166" cm="1">
        <f t="array" ref="B51">PRODUCT(1+Renditen!$B$4:B53)-1</f>
        <v>-8.1084915238507138E-2</v>
      </c>
      <c r="C51" s="166" cm="1">
        <f t="array" ref="C51">PRODUCT(1+Renditen!$C$4:C53)-1</f>
        <v>-0.10248910615101992</v>
      </c>
      <c r="D51" s="166" cm="1">
        <f t="array" ref="D51">PRODUCT(1+Renditen!$D$4:D53)-1</f>
        <v>-6.7799786980272114E-2</v>
      </c>
      <c r="E51" s="166" cm="1">
        <f t="array" ref="E51">PRODUCT(1+Renditen!$E$4:E53)-1</f>
        <v>0.45472803507458015</v>
      </c>
      <c r="F51" s="166" cm="1">
        <f t="array" ref="F51">PRODUCT(1+Renditen!$F$4:F53)-1</f>
        <v>0.46357462132470428</v>
      </c>
      <c r="G51" s="166" cm="1">
        <f t="array" ref="G51">PRODUCT(1+Renditen!$G$4:G53)-1</f>
        <v>4.0934441148013034E-2</v>
      </c>
      <c r="H51" s="166" cm="1">
        <f t="array" ref="H51">PRODUCT(1+Renditen!$H$4:H53)-1</f>
        <v>0.62828286620449503</v>
      </c>
      <c r="I51" s="166" cm="1">
        <f t="array" ref="I51">PRODUCT(1+Renditen!$I$4:I53)-1</f>
        <v>0.2362306524333655</v>
      </c>
      <c r="J51" s="166" cm="1">
        <f t="array" ref="J51">PRODUCT(1+Renditen!$J$4:J53)-1</f>
        <v>0.14317504234972733</v>
      </c>
      <c r="L51" s="165">
        <v>44958</v>
      </c>
      <c r="M51" s="166" cm="1">
        <f t="array" ref="M51">PRODUCT(1+Renditen!$M$4:M53)-1</f>
        <v>-2.7078366912279273E-2</v>
      </c>
      <c r="N51" s="166" cm="1">
        <f t="array" ref="N51">PRODUCT(1+Renditen!$N$4:N53)-1</f>
        <v>-7.3694671189164507E-2</v>
      </c>
      <c r="O51" s="166" cm="1">
        <f t="array" ref="O51">PRODUCT(1+Renditen!$O$4:O53)-1</f>
        <v>-0.11014397902560324</v>
      </c>
      <c r="P51" s="166" cm="1">
        <f t="array" ref="P51">PRODUCT(1+Renditen!$P$4:P53)-1</f>
        <v>0.45507555399924216</v>
      </c>
      <c r="Q51" s="166" cm="1">
        <f t="array" ref="Q51">PRODUCT(1+Renditen!$Q$4:Q53)-1</f>
        <v>0.46200688439269633</v>
      </c>
      <c r="R51" s="166" cm="1">
        <f t="array" ref="R51">PRODUCT(1+Renditen!$R$4:R53)-1</f>
        <v>4.6667017873787131E-2</v>
      </c>
      <c r="S51" s="166" cm="1">
        <f t="array" ref="S51">PRODUCT(1+Renditen!$S$4:S53)-1</f>
        <v>0.75312149239678505</v>
      </c>
      <c r="T51" s="166" cm="1">
        <f t="array" ref="T51">PRODUCT(1+Renditen!$T$4:T53)-1</f>
        <v>0.23183234118241058</v>
      </c>
      <c r="U51" s="166" cm="1">
        <f t="array" ref="U51">PRODUCT(1+Renditen!$U$4:U53)-1</f>
        <v>8.3295116006868231E-2</v>
      </c>
    </row>
    <row r="52" spans="1:21" x14ac:dyDescent="0.25">
      <c r="A52" s="165">
        <v>44986</v>
      </c>
      <c r="B52" s="166" cm="1">
        <f t="array" ref="B52">PRODUCT(1+Renditen!$B$4:B54)-1</f>
        <v>-8.1466526732449362E-2</v>
      </c>
      <c r="C52" s="166" cm="1">
        <f t="array" ref="C52">PRODUCT(1+Renditen!$C$4:C54)-1</f>
        <v>-9.5668023357767584E-2</v>
      </c>
      <c r="D52" s="166" cm="1">
        <f t="array" ref="D52">PRODUCT(1+Renditen!$D$4:D54)-1</f>
        <v>-6.6519477742691735E-2</v>
      </c>
      <c r="E52" s="166" cm="1">
        <f t="array" ref="E52">PRODUCT(1+Renditen!$E$4:E54)-1</f>
        <v>0.47945841167084779</v>
      </c>
      <c r="F52" s="166" cm="1">
        <f t="array" ref="F52">PRODUCT(1+Renditen!$F$4:F54)-1</f>
        <v>0.49577326299384783</v>
      </c>
      <c r="G52" s="166" cm="1">
        <f t="array" ref="G52">PRODUCT(1+Renditen!$G$4:G54)-1</f>
        <v>4.5930926465523436E-2</v>
      </c>
      <c r="H52" s="166" cm="1">
        <f t="array" ref="H52">PRODUCT(1+Renditen!$H$4:H54)-1</f>
        <v>0.6061748225344612</v>
      </c>
      <c r="I52" s="166" cm="1">
        <f t="array" ref="I52">PRODUCT(1+Renditen!$I$4:I54)-1</f>
        <v>0.23981572132542217</v>
      </c>
      <c r="J52" s="166" cm="1">
        <f t="array" ref="J52">PRODUCT(1+Renditen!$J$4:J54)-1</f>
        <v>9.9905866996790049E-2</v>
      </c>
      <c r="L52" s="165">
        <v>44986</v>
      </c>
      <c r="M52" s="166" cm="1">
        <f t="array" ref="M52">PRODUCT(1+Renditen!$M$4:M54)-1</f>
        <v>-2.6274264403245207E-2</v>
      </c>
      <c r="N52" s="166" cm="1">
        <f t="array" ref="N52">PRODUCT(1+Renditen!$N$4:N54)-1</f>
        <v>-7.3159543859666165E-2</v>
      </c>
      <c r="O52" s="166" cm="1">
        <f t="array" ref="O52">PRODUCT(1+Renditen!$O$4:O54)-1</f>
        <v>-8.9714233093874163E-2</v>
      </c>
      <c r="P52" s="166" cm="1">
        <f t="array" ref="P52">PRODUCT(1+Renditen!$P$4:P54)-1</f>
        <v>0.47985668457334141</v>
      </c>
      <c r="Q52" s="166" cm="1">
        <f t="array" ref="Q52">PRODUCT(1+Renditen!$Q$4:Q54)-1</f>
        <v>0.49390360862025706</v>
      </c>
      <c r="R52" s="166" cm="1">
        <f t="array" ref="R52">PRODUCT(1+Renditen!$R$4:R54)-1</f>
        <v>5.1099679907824935E-2</v>
      </c>
      <c r="S52" s="166" cm="1">
        <f t="array" ref="S52">PRODUCT(1+Renditen!$S$4:S54)-1</f>
        <v>0.62821581827410888</v>
      </c>
      <c r="T52" s="166" cm="1">
        <f t="array" ref="T52">PRODUCT(1+Renditen!$T$4:T54)-1</f>
        <v>0.23425011025540754</v>
      </c>
      <c r="U52" s="166" cm="1">
        <f t="array" ref="U52">PRODUCT(1+Renditen!$U$4:U54)-1</f>
        <v>4.2077505322083875E-2</v>
      </c>
    </row>
    <row r="53" spans="1:21" x14ac:dyDescent="0.25">
      <c r="A53" s="165">
        <v>45017</v>
      </c>
      <c r="B53" s="166" cm="1">
        <f t="array" ref="B53">PRODUCT(1+Renditen!$B$4:B55)-1</f>
        <v>-8.0937600085217776E-2</v>
      </c>
      <c r="C53" s="166" cm="1">
        <f t="array" ref="C53">PRODUCT(1+Renditen!$C$4:C55)-1</f>
        <v>-8.78907683586444E-2</v>
      </c>
      <c r="D53" s="166" cm="1">
        <f t="array" ref="D53">PRODUCT(1+Renditen!$D$4:D55)-1</f>
        <v>-6.5633236566193909E-2</v>
      </c>
      <c r="E53" s="166" cm="1">
        <f t="array" ref="E53">PRODUCT(1+Renditen!$E$4:E55)-1</f>
        <v>0.53286686033216535</v>
      </c>
      <c r="F53" s="166" cm="1">
        <f t="array" ref="F53">PRODUCT(1+Renditen!$F$4:F55)-1</f>
        <v>0.51447042878127092</v>
      </c>
      <c r="G53" s="166" cm="1">
        <f t="array" ref="G53">PRODUCT(1+Renditen!$G$4:G55)-1</f>
        <v>6.1855512598334439E-3</v>
      </c>
      <c r="H53" s="166" cm="1">
        <f t="array" ref="H53">PRODUCT(1+Renditen!$H$4:H55)-1</f>
        <v>0.564706971832033</v>
      </c>
      <c r="I53" s="166" cm="1">
        <f t="array" ref="I53">PRODUCT(1+Renditen!$I$4:I55)-1</f>
        <v>0.24341118691726571</v>
      </c>
      <c r="J53" s="166" cm="1">
        <f t="array" ref="J53">PRODUCT(1+Renditen!$J$4:J55)-1</f>
        <v>8.4716166973564322E-2</v>
      </c>
      <c r="L53" s="165">
        <v>45017</v>
      </c>
      <c r="M53" s="166" cm="1">
        <f t="array" ref="M53">PRODUCT(1+Renditen!$M$4:M55)-1</f>
        <v>-2.5380240748166583E-2</v>
      </c>
      <c r="N53" s="166" cm="1">
        <f t="array" ref="N53">PRODUCT(1+Renditen!$N$4:N55)-1</f>
        <v>-6.5744208681210559E-2</v>
      </c>
      <c r="O53" s="166" cm="1">
        <f t="array" ref="O53">PRODUCT(1+Renditen!$O$4:O55)-1</f>
        <v>-8.9489498102597209E-2</v>
      </c>
      <c r="P53" s="166" cm="1">
        <f t="array" ref="P53">PRODUCT(1+Renditen!$P$4:P55)-1</f>
        <v>0.5333558494414985</v>
      </c>
      <c r="Q53" s="166" cm="1">
        <f t="array" ref="Q53">PRODUCT(1+Renditen!$Q$4:Q55)-1</f>
        <v>0.51215737749063006</v>
      </c>
      <c r="R53" s="166" cm="1">
        <f t="array" ref="R53">PRODUCT(1+Renditen!$R$4:R55)-1</f>
        <v>1.2456488832254919E-2</v>
      </c>
      <c r="S53" s="166" cm="1">
        <f t="array" ref="S53">PRODUCT(1+Renditen!$S$4:S55)-1</f>
        <v>0.63491433104044814</v>
      </c>
      <c r="T53" s="166" cm="1">
        <f t="array" ref="T53">PRODUCT(1+Renditen!$T$4:T55)-1</f>
        <v>0.23654358714533363</v>
      </c>
      <c r="U53" s="166" cm="1">
        <f t="array" ref="U53">PRODUCT(1+Renditen!$U$4:U55)-1</f>
        <v>6.0593900612133877E-2</v>
      </c>
    </row>
    <row r="54" spans="1:21" x14ac:dyDescent="0.25">
      <c r="A54" s="165">
        <v>45047</v>
      </c>
      <c r="B54" s="166" cm="1">
        <f t="array" ref="B54">PRODUCT(1+Renditen!$B$4:B56)-1</f>
        <v>-8.3375520767328126E-2</v>
      </c>
      <c r="C54" s="166" cm="1">
        <f t="array" ref="C54">PRODUCT(1+Renditen!$C$4:C56)-1</f>
        <v>-7.4300340807188281E-2</v>
      </c>
      <c r="D54" s="166" cm="1">
        <f t="array" ref="D54">PRODUCT(1+Renditen!$D$4:D56)-1</f>
        <v>-7.7687550889207868E-2</v>
      </c>
      <c r="E54" s="166" cm="1">
        <f t="array" ref="E54">PRODUCT(1+Renditen!$E$4:E56)-1</f>
        <v>0.50389567667188739</v>
      </c>
      <c r="F54" s="166" cm="1">
        <f t="array" ref="F54">PRODUCT(1+Renditen!$F$4:F56)-1</f>
        <v>0.5079582059375114</v>
      </c>
      <c r="G54" s="166" cm="1">
        <f t="array" ref="G54">PRODUCT(1+Renditen!$G$4:G56)-1</f>
        <v>1.5945551107053868E-2</v>
      </c>
      <c r="H54" s="166" cm="1">
        <f t="array" ref="H54">PRODUCT(1+Renditen!$H$4:H56)-1</f>
        <v>0.60680298980395708</v>
      </c>
      <c r="I54" s="166" cm="1">
        <f t="array" ref="I54">PRODUCT(1+Renditen!$I$4:I56)-1</f>
        <v>0.2470170793593256</v>
      </c>
      <c r="J54" s="166" cm="1">
        <f t="array" ref="J54">PRODUCT(1+Renditen!$J$4:J56)-1</f>
        <v>9.5910437816731697E-2</v>
      </c>
      <c r="L54" s="165">
        <v>45047</v>
      </c>
      <c r="M54" s="166" cm="1">
        <f t="array" ref="M54">PRODUCT(1+Renditen!$M$4:M56)-1</f>
        <v>-2.4328855161039331E-2</v>
      </c>
      <c r="N54" s="166" cm="1">
        <f t="array" ref="N54">PRODUCT(1+Renditen!$N$4:N56)-1</f>
        <v>-5.7793746177349004E-2</v>
      </c>
      <c r="O54" s="166" cm="1">
        <f t="array" ref="O54">PRODUCT(1+Renditen!$O$4:O56)-1</f>
        <v>-9.6962667469501218E-2</v>
      </c>
      <c r="P54" s="166" cm="1">
        <f t="array" ref="P54">PRODUCT(1+Renditen!$P$4:P56)-1</f>
        <v>0.5044170636985017</v>
      </c>
      <c r="Q54" s="166" cm="1">
        <f t="array" ref="Q54">PRODUCT(1+Renditen!$Q$4:Q56)-1</f>
        <v>0.50539906167540072</v>
      </c>
      <c r="R54" s="166" cm="1">
        <f t="array" ref="R54">PRODUCT(1+Renditen!$R$4:R56)-1</f>
        <v>2.2404386340506344E-2</v>
      </c>
      <c r="S54" s="166" cm="1">
        <f t="array" ref="S54">PRODUCT(1+Renditen!$S$4:S56)-1</f>
        <v>0.66239222535505315</v>
      </c>
      <c r="T54" s="166" cm="1">
        <f t="array" ref="T54">PRODUCT(1+Renditen!$T$4:T56)-1</f>
        <v>0.23991625730618549</v>
      </c>
      <c r="U54" s="166" cm="1">
        <f t="array" ref="U54">PRODUCT(1+Renditen!$U$4:U56)-1</f>
        <v>1.788580615069546E-2</v>
      </c>
    </row>
    <row r="55" spans="1:21" x14ac:dyDescent="0.25">
      <c r="A55" s="165">
        <v>45078</v>
      </c>
      <c r="B55" s="166" cm="1">
        <f t="array" ref="B55">PRODUCT(1+Renditen!$B$4:B57)-1</f>
        <v>-8.3347070218980801E-2</v>
      </c>
      <c r="C55" s="166" cm="1">
        <f t="array" ref="C55">PRODUCT(1+Renditen!$C$4:C57)-1</f>
        <v>-7.3707893025304894E-2</v>
      </c>
      <c r="D55" s="166" cm="1">
        <f t="array" ref="D55">PRODUCT(1+Renditen!$D$4:D57)-1</f>
        <v>-5.6152775174839187E-2</v>
      </c>
      <c r="E55" s="166" cm="1">
        <f t="array" ref="E55">PRODUCT(1+Renditen!$E$4:E57)-1</f>
        <v>0.5114151550552466</v>
      </c>
      <c r="F55" s="166" cm="1">
        <f t="array" ref="F55">PRODUCT(1+Renditen!$F$4:F57)-1</f>
        <v>0.59029272398169952</v>
      </c>
      <c r="G55" s="166" cm="1">
        <f t="array" ref="G55">PRODUCT(1+Renditen!$G$4:G57)-1</f>
        <v>3.1997490814545282E-2</v>
      </c>
      <c r="H55" s="166" cm="1">
        <f t="array" ref="H55">PRODUCT(1+Renditen!$H$4:H57)-1</f>
        <v>0.60051825788625623</v>
      </c>
      <c r="I55" s="166" cm="1">
        <f t="array" ref="I55">PRODUCT(1+Renditen!$I$4:I57)-1</f>
        <v>0.2506334288894676</v>
      </c>
      <c r="J55" s="166" cm="1">
        <f t="array" ref="J55">PRODUCT(1+Renditen!$J$4:J57)-1</f>
        <v>8.2660880623527389E-2</v>
      </c>
      <c r="L55" s="165">
        <v>45078</v>
      </c>
      <c r="M55" s="166" cm="1">
        <f t="array" ref="M55">PRODUCT(1+Renditen!$M$4:M57)-1</f>
        <v>-2.3200517825153977E-2</v>
      </c>
      <c r="N55" s="166" cm="1">
        <f t="array" ref="N55">PRODUCT(1+Renditen!$N$4:N57)-1</f>
        <v>-6.0622276109982165E-2</v>
      </c>
      <c r="O55" s="166" cm="1">
        <f t="array" ref="O55">PRODUCT(1+Renditen!$O$4:O57)-1</f>
        <v>-0.10234019392000415</v>
      </c>
      <c r="P55" s="166" cm="1">
        <f t="array" ref="P55">PRODUCT(1+Renditen!$P$4:P57)-1</f>
        <v>0.51186971400139458</v>
      </c>
      <c r="Q55" s="166" cm="1">
        <f t="array" ref="Q55">PRODUCT(1+Renditen!$Q$4:Q57)-1</f>
        <v>0.58738311730576909</v>
      </c>
      <c r="R55" s="166" cm="1">
        <f t="array" ref="R55">PRODUCT(1+Renditen!$R$4:R57)-1</f>
        <v>3.8586457412523423E-2</v>
      </c>
      <c r="S55" s="166" cm="1">
        <f t="array" ref="S55">PRODUCT(1+Renditen!$S$4:S57)-1</f>
        <v>0.73227525098214286</v>
      </c>
      <c r="T55" s="166" cm="1">
        <f t="array" ref="T55">PRODUCT(1+Renditen!$T$4:T57)-1</f>
        <v>0.24069927347406317</v>
      </c>
      <c r="U55" s="166" cm="1">
        <f t="array" ref="U55">PRODUCT(1+Renditen!$U$4:U57)-1</f>
        <v>4.6033020132060454E-2</v>
      </c>
    </row>
    <row r="56" spans="1:21" x14ac:dyDescent="0.25">
      <c r="A56" s="165">
        <v>45108</v>
      </c>
      <c r="B56" s="166" cm="1">
        <f t="array" ref="B56">PRODUCT(1+Renditen!$B$4:B58)-1</f>
        <v>-8.2829532890505431E-2</v>
      </c>
      <c r="C56" s="166" cm="1">
        <f t="array" ref="C56">PRODUCT(1+Renditen!$C$4:C58)-1</f>
        <v>-7.259634249693514E-2</v>
      </c>
      <c r="D56" s="166" cm="1">
        <f t="array" ref="D56">PRODUCT(1+Renditen!$D$4:D58)-1</f>
        <v>-4.0837701257739445E-2</v>
      </c>
      <c r="E56" s="166" cm="1">
        <f t="array" ref="E56">PRODUCT(1+Renditen!$E$4:E58)-1</f>
        <v>0.51806538173748962</v>
      </c>
      <c r="F56" s="166" cm="1">
        <f t="array" ref="F56">PRODUCT(1+Renditen!$F$4:F58)-1</f>
        <v>0.63195839335002013</v>
      </c>
      <c r="G56" s="166" cm="1">
        <f t="array" ref="G56">PRODUCT(1+Renditen!$G$4:G58)-1</f>
        <v>6.2647816291737435E-2</v>
      </c>
      <c r="H56" s="166" cm="1">
        <f t="array" ref="H56">PRODUCT(1+Renditen!$H$4:H58)-1</f>
        <v>0.5490690440669781</v>
      </c>
      <c r="I56" s="166" cm="1">
        <f t="array" ref="I56">PRODUCT(1+Renditen!$I$4:I58)-1</f>
        <v>0.2542602658332469</v>
      </c>
      <c r="J56" s="166" cm="1">
        <f t="array" ref="J56">PRODUCT(1+Renditen!$J$4:J58)-1</f>
        <v>7.9282978675981886E-2</v>
      </c>
      <c r="L56" s="165">
        <v>45108</v>
      </c>
      <c r="M56" s="166" cm="1">
        <f t="array" ref="M56">PRODUCT(1+Renditen!$M$4:M58)-1</f>
        <v>-2.1932110974767327E-2</v>
      </c>
      <c r="N56" s="166" cm="1">
        <f t="array" ref="N56">PRODUCT(1+Renditen!$N$4:N58)-1</f>
        <v>-5.7640852693386035E-2</v>
      </c>
      <c r="O56" s="166" cm="1">
        <f t="array" ref="O56">PRODUCT(1+Renditen!$O$4:O58)-1</f>
        <v>-0.10780225752180139</v>
      </c>
      <c r="P56" s="166" cm="1">
        <f t="array" ref="P56">PRODUCT(1+Renditen!$P$4:P58)-1</f>
        <v>0.51851260328446025</v>
      </c>
      <c r="Q56" s="166" cm="1">
        <f t="array" ref="Q56">PRODUCT(1+Renditen!$Q$4:Q58)-1</f>
        <v>0.62850146872010226</v>
      </c>
      <c r="R56" s="166" cm="1">
        <f t="array" ref="R56">PRODUCT(1+Renditen!$R$4:R58)-1</f>
        <v>6.8958629162183094E-2</v>
      </c>
      <c r="S56" s="166" cm="1">
        <f t="array" ref="S56">PRODUCT(1+Renditen!$S$4:S58)-1</f>
        <v>0.79038554696392915</v>
      </c>
      <c r="T56" s="166" cm="1">
        <f t="array" ref="T56">PRODUCT(1+Renditen!$T$4:T58)-1</f>
        <v>0.24137628683917911</v>
      </c>
      <c r="U56" s="166" cm="1">
        <f t="array" ref="U56">PRODUCT(1+Renditen!$U$4:U58)-1</f>
        <v>7.6759917606459505E-2</v>
      </c>
    </row>
    <row r="57" spans="1:21" x14ac:dyDescent="0.25">
      <c r="A57" s="165">
        <v>45139</v>
      </c>
      <c r="B57" s="166" cm="1">
        <f t="array" ref="B57">PRODUCT(1+Renditen!$B$4:B59)-1</f>
        <v>-8.2400000805850748E-2</v>
      </c>
      <c r="C57" s="166" cm="1">
        <f t="array" ref="C57">PRODUCT(1+Renditen!$C$4:C59)-1</f>
        <v>-6.6289997625914365E-2</v>
      </c>
      <c r="D57" s="166" cm="1">
        <f t="array" ref="D57">PRODUCT(1+Renditen!$D$4:D59)-1</f>
        <v>-6.2114001132901886E-2</v>
      </c>
      <c r="E57" s="166" cm="1">
        <f t="array" ref="E57">PRODUCT(1+Renditen!$E$4:E59)-1</f>
        <v>0.49134743101890987</v>
      </c>
      <c r="F57" s="166" cm="1">
        <f t="array" ref="F57">PRODUCT(1+Renditen!$F$4:F59)-1</f>
        <v>0.59834005044700977</v>
      </c>
      <c r="G57" s="166" cm="1">
        <f t="array" ref="G57">PRODUCT(1+Renditen!$G$4:G59)-1</f>
        <v>1.4722399776980089E-2</v>
      </c>
      <c r="H57" s="166" cm="1">
        <f t="array" ref="H57">PRODUCT(1+Renditen!$H$4:H59)-1</f>
        <v>0.57837511529703911</v>
      </c>
      <c r="I57" s="166" cm="1">
        <f t="array" ref="I57">PRODUCT(1+Renditen!$I$4:I59)-1</f>
        <v>0.25789762060416321</v>
      </c>
      <c r="J57" s="166" cm="1">
        <f t="array" ref="J57">PRODUCT(1+Renditen!$J$4:J59)-1</f>
        <v>8.0362261654657763E-2</v>
      </c>
      <c r="L57" s="165">
        <v>45139</v>
      </c>
      <c r="M57" s="166" cm="1">
        <f t="array" ref="M57">PRODUCT(1+Renditen!$M$4:M59)-1</f>
        <v>-2.0569459847495364E-2</v>
      </c>
      <c r="N57" s="166" cm="1">
        <f t="array" ref="N57">PRODUCT(1+Renditen!$N$4:N59)-1</f>
        <v>-5.3054047422007478E-2</v>
      </c>
      <c r="O57" s="166" cm="1">
        <f t="array" ref="O57">PRODUCT(1+Renditen!$O$4:O59)-1</f>
        <v>-0.11226598742253635</v>
      </c>
      <c r="P57" s="166" cm="1">
        <f t="array" ref="P57">PRODUCT(1+Renditen!$P$4:P59)-1</f>
        <v>0.49182405821774178</v>
      </c>
      <c r="Q57" s="166" cm="1">
        <f t="array" ref="Q57">PRODUCT(1+Renditen!$Q$4:Q59)-1</f>
        <v>0.59477305140106829</v>
      </c>
      <c r="R57" s="166" cm="1">
        <f t="array" ref="R57">PRODUCT(1+Renditen!$R$4:R59)-1</f>
        <v>2.2088155148310085E-2</v>
      </c>
      <c r="S57" s="166" cm="1">
        <f t="array" ref="S57">PRODUCT(1+Renditen!$S$4:S59)-1</f>
        <v>0.79740111758583265</v>
      </c>
      <c r="T57" s="166" cm="1">
        <f t="array" ref="T57">PRODUCT(1+Renditen!$T$4:T59)-1</f>
        <v>0.24463554225263584</v>
      </c>
      <c r="U57" s="166" cm="1">
        <f t="array" ref="U57">PRODUCT(1+Renditen!$U$4:U59)-1</f>
        <v>4.6376977950586484E-2</v>
      </c>
    </row>
    <row r="58" spans="1:21" x14ac:dyDescent="0.25">
      <c r="A58" s="165">
        <v>45170</v>
      </c>
      <c r="B58" s="166" cm="1">
        <f t="array" ref="B58">PRODUCT(1+Renditen!$B$4:B60)-1</f>
        <v>-8.3207422512283302E-2</v>
      </c>
      <c r="C58" s="166" cm="1">
        <f t="array" ref="C58">PRODUCT(1+Renditen!$C$4:C60)-1</f>
        <v>-7.4954826447945821E-2</v>
      </c>
      <c r="D58" s="166" cm="1">
        <f t="array" ref="D58">PRODUCT(1+Renditen!$D$4:D60)-1</f>
        <v>-9.3418156494543436E-2</v>
      </c>
      <c r="E58" s="166" cm="1">
        <f t="array" ref="E58">PRODUCT(1+Renditen!$E$4:E60)-1</f>
        <v>0.46122221291232801</v>
      </c>
      <c r="F58" s="166" cm="1">
        <f t="array" ref="F58">PRODUCT(1+Renditen!$F$4:F60)-1</f>
        <v>0.532488440368593</v>
      </c>
      <c r="G58" s="166" cm="1">
        <f t="array" ref="G58">PRODUCT(1+Renditen!$G$4:G60)-1</f>
        <v>2.1825456575418789E-2</v>
      </c>
      <c r="H58" s="166" cm="1">
        <f t="array" ref="H58">PRODUCT(1+Renditen!$H$4:H60)-1</f>
        <v>0.66411217250325372</v>
      </c>
      <c r="I58" s="166" cm="1">
        <f t="array" ref="I58">PRODUCT(1+Renditen!$I$4:I60)-1</f>
        <v>0.25840077965240482</v>
      </c>
      <c r="J58" s="166" cm="1">
        <f t="array" ref="J58">PRODUCT(1+Renditen!$J$4:J60)-1</f>
        <v>5.4109458696449675E-2</v>
      </c>
      <c r="L58" s="165">
        <v>45170</v>
      </c>
      <c r="M58" s="166" cm="1">
        <f t="array" ref="M58">PRODUCT(1+Renditen!$M$4:M60)-1</f>
        <v>-1.9186922337526835E-2</v>
      </c>
      <c r="N58" s="166" cm="1">
        <f t="array" ref="N58">PRODUCT(1+Renditen!$N$4:N60)-1</f>
        <v>-5.5194556533460948E-2</v>
      </c>
      <c r="O58" s="166" cm="1">
        <f t="array" ref="O58">PRODUCT(1+Renditen!$O$4:O60)-1</f>
        <v>-0.13245342141911864</v>
      </c>
      <c r="P58" s="166" cm="1">
        <f t="array" ref="P58">PRODUCT(1+Renditen!$P$4:P60)-1</f>
        <v>0.46170114951949248</v>
      </c>
      <c r="Q58" s="166" cm="1">
        <f t="array" ref="Q58">PRODUCT(1+Renditen!$Q$4:Q60)-1</f>
        <v>0.52838996784425185</v>
      </c>
      <c r="R58" s="166" cm="1">
        <f t="array" ref="R58">PRODUCT(1+Renditen!$R$4:R60)-1</f>
        <v>3.0913663961633198E-2</v>
      </c>
      <c r="S58" s="166" cm="1">
        <f t="array" ref="S58">PRODUCT(1+Renditen!$S$4:S60)-1</f>
        <v>0.84415815665916627</v>
      </c>
      <c r="T58" s="166" cm="1">
        <f t="array" ref="T58">PRODUCT(1+Renditen!$T$4:T60)-1</f>
        <v>0.24501618914052314</v>
      </c>
      <c r="U58" s="166" cm="1">
        <f t="array" ref="U58">PRODUCT(1+Renditen!$U$4:U60)-1</f>
        <v>-1.4388901453937009E-2</v>
      </c>
    </row>
    <row r="59" spans="1:21" x14ac:dyDescent="0.25">
      <c r="A59" s="165">
        <v>45200</v>
      </c>
      <c r="B59" s="166" cm="1">
        <f t="array" ref="B59">PRODUCT(1+Renditen!$B$4:B61)-1</f>
        <v>-8.4177843022858134E-2</v>
      </c>
      <c r="C59" s="166" cm="1">
        <f t="array" ref="C59">PRODUCT(1+Renditen!$C$4:C61)-1</f>
        <v>-7.0144591545475032E-2</v>
      </c>
      <c r="D59" s="166" cm="1">
        <f t="array" ref="D59">PRODUCT(1+Renditen!$D$4:D61)-1</f>
        <v>-0.10609815577381621</v>
      </c>
      <c r="E59" s="166" cm="1">
        <f t="array" ref="E59">PRODUCT(1+Renditen!$E$4:E61)-1</f>
        <v>0.38465416895572213</v>
      </c>
      <c r="F59" s="166" cm="1">
        <f t="array" ref="F59">PRODUCT(1+Renditen!$F$4:F61)-1</f>
        <v>0.48896576866212493</v>
      </c>
      <c r="G59" s="166" cm="1">
        <f t="array" ref="G59">PRODUCT(1+Renditen!$G$4:G61)-1</f>
        <v>-2.2010855511666705E-2</v>
      </c>
      <c r="H59" s="166" cm="1">
        <f t="array" ref="H59">PRODUCT(1+Renditen!$H$4:H61)-1</f>
        <v>0.65520431134229429</v>
      </c>
      <c r="I59" s="166" cm="1">
        <f t="array" ref="I59">PRODUCT(1+Renditen!$I$4:I61)-1</f>
        <v>0.25890413996426576</v>
      </c>
      <c r="J59" s="166" cm="1">
        <f t="array" ref="J59">PRODUCT(1+Renditen!$J$4:J61)-1</f>
        <v>4.3884596947094012E-2</v>
      </c>
      <c r="L59" s="165">
        <v>45200</v>
      </c>
      <c r="M59" s="166" cm="1">
        <f t="array" ref="M59">PRODUCT(1+Renditen!$M$4:M61)-1</f>
        <v>-1.7763747457317125E-2</v>
      </c>
      <c r="N59" s="166" cm="1">
        <f t="array" ref="N59">PRODUCT(1+Renditen!$N$4:N61)-1</f>
        <v>-4.8467242083692463E-2</v>
      </c>
      <c r="O59" s="166" cm="1">
        <f t="array" ref="O59">PRODUCT(1+Renditen!$O$4:O61)-1</f>
        <v>-0.1403804549450951</v>
      </c>
      <c r="P59" s="166" cm="1">
        <f t="array" ref="P59">PRODUCT(1+Renditen!$P$4:P61)-1</f>
        <v>0.38516245092866552</v>
      </c>
      <c r="Q59" s="166" cm="1">
        <f t="array" ref="Q59">PRODUCT(1+Renditen!$Q$4:Q61)-1</f>
        <v>0.48543992327643637</v>
      </c>
      <c r="R59" s="166" cm="1">
        <f t="array" ref="R59">PRODUCT(1+Renditen!$R$4:R61)-1</f>
        <v>-1.4286381309875695E-2</v>
      </c>
      <c r="S59" s="166" cm="1">
        <f t="array" ref="S59">PRODUCT(1+Renditen!$S$4:S61)-1</f>
        <v>0.69556501673688254</v>
      </c>
      <c r="T59" s="166" cm="1">
        <f t="array" ref="T59">PRODUCT(1+Renditen!$T$4:T61)-1</f>
        <v>0.24751042431995374</v>
      </c>
      <c r="U59" s="166" cm="1">
        <f t="array" ref="U59">PRODUCT(1+Renditen!$U$4:U61)-1</f>
        <v>-5.9447374307615375E-2</v>
      </c>
    </row>
    <row r="60" spans="1:21" x14ac:dyDescent="0.25">
      <c r="A60" s="165">
        <v>45231</v>
      </c>
      <c r="B60" s="166" cm="1">
        <f t="array" ref="B60">PRODUCT(1+Renditen!$B$4:B62)-1</f>
        <v>-8.4853963019803968E-2</v>
      </c>
      <c r="C60" s="166" cm="1">
        <f t="array" ref="C60">PRODUCT(1+Renditen!$C$4:C62)-1</f>
        <v>-5.1733454458075423E-2</v>
      </c>
      <c r="D60" s="166" cm="1">
        <f t="array" ref="D60">PRODUCT(1+Renditen!$D$4:D62)-1</f>
        <v>-5.6703465974787481E-2</v>
      </c>
      <c r="E60" s="166" cm="1">
        <f t="array" ref="E60">PRODUCT(1+Renditen!$E$4:E62)-1</f>
        <v>0.44765593364320755</v>
      </c>
      <c r="F60" s="166" cm="1">
        <f t="array" ref="F60">PRODUCT(1+Renditen!$F$4:F62)-1</f>
        <v>0.60525399519463696</v>
      </c>
      <c r="G60" s="166" cm="1">
        <f t="array" ref="G60">PRODUCT(1+Renditen!$G$4:G62)-1</f>
        <v>6.5464275073925382E-3</v>
      </c>
      <c r="H60" s="166" cm="1">
        <f t="array" ref="H60">PRODUCT(1+Renditen!$H$4:H62)-1</f>
        <v>0.58155088274852162</v>
      </c>
      <c r="I60" s="166" cm="1">
        <f t="array" ref="I60">PRODUCT(1+Renditen!$I$4:I62)-1</f>
        <v>0.27788841439492695</v>
      </c>
      <c r="J60" s="166" cm="1">
        <f t="array" ref="J60">PRODUCT(1+Renditen!$J$4:J62)-1</f>
        <v>0.10035875364193192</v>
      </c>
      <c r="L60" s="165">
        <v>45231</v>
      </c>
      <c r="M60" s="166" cm="1">
        <f t="array" ref="M60">PRODUCT(1+Renditen!$M$4:M62)-1</f>
        <v>-1.642617054240092E-2</v>
      </c>
      <c r="N60" s="166" cm="1">
        <f t="array" ref="N60">PRODUCT(1+Renditen!$N$4:N62)-1</f>
        <v>-3.99052055046758E-2</v>
      </c>
      <c r="O60" s="166" cm="1">
        <f t="array" ref="O60">PRODUCT(1+Renditen!$O$4:O62)-1</f>
        <v>-0.11684438659416918</v>
      </c>
      <c r="P60" s="166" cm="1">
        <f t="array" ref="P60">PRODUCT(1+Renditen!$P$4:P62)-1</f>
        <v>0.44824650134903643</v>
      </c>
      <c r="Q60" s="166" cm="1">
        <f t="array" ref="Q60">PRODUCT(1+Renditen!$Q$4:Q62)-1</f>
        <v>0.60134188175616599</v>
      </c>
      <c r="R60" s="166" cm="1">
        <f t="array" ref="R60">PRODUCT(1+Renditen!$R$4:R62)-1</f>
        <v>1.7221785757382646E-2</v>
      </c>
      <c r="S60" s="166" cm="1">
        <f t="array" ref="S60">PRODUCT(1+Renditen!$S$4:S62)-1</f>
        <v>0.90861598588497716</v>
      </c>
      <c r="T60" s="166" cm="1">
        <f t="array" ref="T60">PRODUCT(1+Renditen!$T$4:T62)-1</f>
        <v>0.24988983326277925</v>
      </c>
      <c r="U60" s="166" cm="1">
        <f t="array" ref="U60">PRODUCT(1+Renditen!$U$4:U62)-1</f>
        <v>2.3847741525679922E-2</v>
      </c>
    </row>
    <row r="61" spans="1:21" x14ac:dyDescent="0.25">
      <c r="A61" s="165">
        <v>45261</v>
      </c>
      <c r="B61" s="166" cm="1">
        <f t="array" ref="B61">PRODUCT(1+Renditen!$B$4:B63)-1</f>
        <v>-8.7814583329165363E-2</v>
      </c>
      <c r="C61" s="166" cm="1">
        <f t="array" ref="C61">PRODUCT(1+Renditen!$C$4:C63)-1</f>
        <v>-3.8552549475042608E-2</v>
      </c>
      <c r="D61" s="166" cm="1">
        <f t="array" ref="D61">PRODUCT(1+Renditen!$D$4:D63)-1</f>
        <v>-1.5737145850186263E-2</v>
      </c>
      <c r="E61" s="166" cm="1">
        <f t="array" ref="E61">PRODUCT(1+Renditen!$E$4:E63)-1</f>
        <v>0.48167584808382302</v>
      </c>
      <c r="F61" s="166" cm="1">
        <f t="array" ref="F61">PRODUCT(1+Renditen!$F$4:F63)-1</f>
        <v>0.66625364701203327</v>
      </c>
      <c r="G61" s="166" cm="1">
        <f t="array" ref="G61">PRODUCT(1+Renditen!$G$4:G63)-1</f>
        <v>1.0975231788425077E-2</v>
      </c>
      <c r="H61" s="166" cm="1">
        <f t="array" ref="H61">PRODUCT(1+Renditen!$H$4:H63)-1</f>
        <v>0.51719305630813084</v>
      </c>
      <c r="I61" s="166" cm="1">
        <f t="array" ref="I61">PRODUCT(1+Renditen!$I$4:I63)-1</f>
        <v>0.28696142213713105</v>
      </c>
      <c r="J61" s="166" cm="1">
        <f t="array" ref="J61">PRODUCT(1+Renditen!$J$4:J63)-1</f>
        <v>0.10068886126802457</v>
      </c>
      <c r="L61" s="165">
        <v>45261</v>
      </c>
      <c r="M61" s="166" cm="1">
        <f t="array" ref="M61">PRODUCT(1+Renditen!$M$4:M63)-1</f>
        <v>-1.5084270537704003E-2</v>
      </c>
      <c r="N61" s="166" cm="1">
        <f t="array" ref="N61">PRODUCT(1+Renditen!$N$4:N63)-1</f>
        <v>-3.2719210590942516E-2</v>
      </c>
      <c r="O61" s="166" cm="1">
        <f t="array" ref="O61">PRODUCT(1+Renditen!$O$4:O63)-1</f>
        <v>-9.2856755788655487E-2</v>
      </c>
      <c r="P61" s="166" cm="1">
        <f t="array" ref="P61">PRODUCT(1+Renditen!$P$4:P63)-1</f>
        <v>0.48231343478990318</v>
      </c>
      <c r="Q61" s="166" cm="1">
        <f t="array" ref="Q61">PRODUCT(1+Renditen!$Q$4:Q63)-1</f>
        <v>0.66166142968736863</v>
      </c>
      <c r="R61" s="166" cm="1">
        <f t="array" ref="R61">PRODUCT(1+Renditen!$R$4:R63)-1</f>
        <v>2.3074451763981152E-2</v>
      </c>
      <c r="S61" s="166" cm="1">
        <f t="array" ref="S61">PRODUCT(1+Renditen!$S$4:S63)-1</f>
        <v>1.0132141807724531</v>
      </c>
      <c r="T61" s="166" cm="1">
        <f t="array" ref="T61">PRODUCT(1+Renditen!$T$4:T63)-1</f>
        <v>0.24963735539147103</v>
      </c>
      <c r="U61" s="166" cm="1">
        <f t="array" ref="U61">PRODUCT(1+Renditen!$U$4:U63)-1</f>
        <v>0.10720018359575523</v>
      </c>
    </row>
    <row r="62" spans="1:21" x14ac:dyDescent="0.25">
      <c r="A62" s="165">
        <v>45292</v>
      </c>
      <c r="B62" s="166" cm="1">
        <f t="array" ref="B62">PRODUCT(1+Renditen!$B$4:B64)-1</f>
        <v>-8.729956833463437E-2</v>
      </c>
      <c r="C62" s="166" cm="1">
        <f t="array" ref="C62">PRODUCT(1+Renditen!$C$4:C64)-1</f>
        <v>-3.7398812534412573E-2</v>
      </c>
      <c r="D62" s="166" cm="1">
        <f t="array" ref="D62">PRODUCT(1+Renditen!$D$4:D64)-1</f>
        <v>2.3372101118779298E-4</v>
      </c>
      <c r="E62" s="166" cm="1">
        <f t="array" ref="E62">PRODUCT(1+Renditen!$E$4:E64)-1</f>
        <v>0.48819522181539177</v>
      </c>
      <c r="F62" s="166" cm="1">
        <f t="array" ref="F62">PRODUCT(1+Renditen!$F$4:F64)-1</f>
        <v>0.70990949256374858</v>
      </c>
      <c r="G62" s="166" cm="1">
        <f t="array" ref="G62">PRODUCT(1+Renditen!$G$4:G64)-1</f>
        <v>4.1001196172541388E-2</v>
      </c>
      <c r="H62" s="166" cm="1">
        <f t="array" ref="H62">PRODUCT(1+Renditen!$H$4:H64)-1</f>
        <v>0.46842235995743131</v>
      </c>
      <c r="I62" s="166" cm="1">
        <f t="array" ref="I62">PRODUCT(1+Renditen!$I$4:I64)-1</f>
        <v>0.29069361026132867</v>
      </c>
      <c r="J62" s="166" cm="1">
        <f t="array" ref="J62">PRODUCT(1+Renditen!$J$4:J64)-1</f>
        <v>9.7254712020868217E-2</v>
      </c>
      <c r="L62" s="165">
        <v>45292</v>
      </c>
      <c r="M62" s="166" cm="1">
        <f t="array" ref="M62">PRODUCT(1+Renditen!$M$4:M64)-1</f>
        <v>-1.3805324468320279E-2</v>
      </c>
      <c r="N62" s="166" cm="1">
        <f t="array" ref="N62">PRODUCT(1+Renditen!$N$4:N64)-1</f>
        <v>-2.9649227640925924E-2</v>
      </c>
      <c r="O62" s="166" cm="1">
        <f t="array" ref="O62">PRODUCT(1+Renditen!$O$4:O64)-1</f>
        <v>-9.8376524037454005E-2</v>
      </c>
      <c r="P62" s="166" cm="1">
        <f t="array" ref="P62">PRODUCT(1+Renditen!$P$4:P64)-1</f>
        <v>0.48882645898697419</v>
      </c>
      <c r="Q62" s="166" cm="1">
        <f t="array" ref="Q62">PRODUCT(1+Renditen!$Q$4:Q64)-1</f>
        <v>0.70470382937818465</v>
      </c>
      <c r="R62" s="166" cm="1">
        <f t="array" ref="R62">PRODUCT(1+Renditen!$R$4:R64)-1</f>
        <v>5.2992994163501894E-2</v>
      </c>
      <c r="S62" s="166" cm="1">
        <f t="array" ref="S62">PRODUCT(1+Renditen!$S$4:S64)-1</f>
        <v>1.0807487552305757</v>
      </c>
      <c r="T62" s="166" cm="1">
        <f t="array" ref="T62">PRODUCT(1+Renditen!$T$4:T64)-1</f>
        <v>0.25031924600689748</v>
      </c>
      <c r="U62" s="166" cm="1">
        <f t="array" ref="U62">PRODUCT(1+Renditen!$U$4:U64)-1</f>
        <v>0.13972384763906387</v>
      </c>
    </row>
    <row r="63" spans="1:21" x14ac:dyDescent="0.25">
      <c r="A63" s="165">
        <v>45323</v>
      </c>
      <c r="B63" s="166" cm="1">
        <f t="array" ref="B63">PRODUCT(1+Renditen!$B$4:B65)-1</f>
        <v>-8.6872129670681364E-2</v>
      </c>
      <c r="C63" s="166" cm="1">
        <f t="array" ref="C63">PRODUCT(1+Renditen!$C$4:C65)-1</f>
        <v>-3.0853124459646608E-2</v>
      </c>
      <c r="D63" s="166" cm="1">
        <f t="array" ref="D63">PRODUCT(1+Renditen!$D$4:D65)-1</f>
        <v>-2.1953632079513841E-2</v>
      </c>
      <c r="E63" s="166" cm="1">
        <f t="array" ref="E63">PRODUCT(1+Renditen!$E$4:E65)-1</f>
        <v>0.46200298591144096</v>
      </c>
      <c r="F63" s="166" cm="1">
        <f t="array" ref="F63">PRODUCT(1+Renditen!$F$4:F65)-1</f>
        <v>0.67468535701693555</v>
      </c>
      <c r="G63" s="166" cm="1">
        <f t="array" ref="G63">PRODUCT(1+Renditen!$G$4:G65)-1</f>
        <v>-5.9479577748402512E-3</v>
      </c>
      <c r="H63" s="166" cm="1">
        <f t="array" ref="H63">PRODUCT(1+Renditen!$H$4:H65)-1</f>
        <v>0.49620271645060909</v>
      </c>
      <c r="I63" s="166" cm="1">
        <f t="array" ref="I63">PRODUCT(1+Renditen!$I$4:I65)-1</f>
        <v>0.29443662173108631</v>
      </c>
      <c r="J63" s="166" cm="1">
        <f t="array" ref="J63">PRODUCT(1+Renditen!$J$4:J65)-1</f>
        <v>9.8351966732888929E-2</v>
      </c>
      <c r="L63" s="165">
        <v>45323</v>
      </c>
      <c r="M63" s="166" cm="1">
        <f t="array" ref="M63">PRODUCT(1+Renditen!$M$4:M65)-1</f>
        <v>-1.2431351044387307E-2</v>
      </c>
      <c r="N63" s="166" cm="1">
        <f t="array" ref="N63">PRODUCT(1+Renditen!$N$4:N65)-1</f>
        <v>-2.4926176933068089E-2</v>
      </c>
      <c r="O63" s="166" cm="1">
        <f t="array" ref="O63">PRODUCT(1+Renditen!$O$4:O65)-1</f>
        <v>-0.10288741156523429</v>
      </c>
      <c r="P63" s="166" cm="1">
        <f t="array" ref="P63">PRODUCT(1+Renditen!$P$4:P65)-1</f>
        <v>0.46265966131848391</v>
      </c>
      <c r="Q63" s="166" cm="1">
        <f t="array" ref="Q63">PRODUCT(1+Renditen!$Q$4:Q65)-1</f>
        <v>0.66939716047612241</v>
      </c>
      <c r="R63" s="166" cm="1">
        <f t="array" ref="R63">PRODUCT(1+Renditen!$R$4:R65)-1</f>
        <v>6.8225630323990316E-3</v>
      </c>
      <c r="S63" s="166" cm="1">
        <f t="array" ref="S63">PRODUCT(1+Renditen!$S$4:S65)-1</f>
        <v>1.0889021051408849</v>
      </c>
      <c r="T63" s="166" cm="1">
        <f t="array" ref="T63">PRODUCT(1+Renditen!$T$4:T65)-1</f>
        <v>0.25360198131793932</v>
      </c>
      <c r="U63" s="166" cm="1">
        <f t="array" ref="U63">PRODUCT(1+Renditen!$U$4:U65)-1</f>
        <v>0.10756425447353024</v>
      </c>
    </row>
    <row r="64" spans="1:21" x14ac:dyDescent="0.25">
      <c r="A64" s="165">
        <v>45352</v>
      </c>
      <c r="B64" s="166" cm="1">
        <f t="array" ref="B64">PRODUCT(1+Renditen!$B$4:B66)-1</f>
        <v>-8.7675616226805975E-2</v>
      </c>
      <c r="C64" s="166" cm="1">
        <f t="array" ref="C64">PRODUCT(1+Renditen!$C$4:C66)-1</f>
        <v>-3.9846807464661071E-2</v>
      </c>
      <c r="D64" s="166" cm="1">
        <f t="array" ref="D64">PRODUCT(1+Renditen!$D$4:D66)-1</f>
        <v>-5.4598234397125189E-2</v>
      </c>
      <c r="E64" s="166" cm="1">
        <f t="array" ref="E64">PRODUCT(1+Renditen!$E$4:E66)-1</f>
        <v>0.43247052559602994</v>
      </c>
      <c r="F64" s="166" cm="1">
        <f t="array" ref="F64">PRODUCT(1+Renditen!$F$4:F66)-1</f>
        <v>0.60568832030783781</v>
      </c>
      <c r="G64" s="166" cm="1">
        <f t="array" ref="G64">PRODUCT(1+Renditen!$G$4:G66)-1</f>
        <v>1.010406520735696E-3</v>
      </c>
      <c r="H64" s="166" cm="1">
        <f t="array" ref="H64">PRODUCT(1+Renditen!$H$4:H66)-1</f>
        <v>0.57747618347956586</v>
      </c>
      <c r="I64" s="166" cm="1">
        <f t="array" ref="I64">PRODUCT(1+Renditen!$I$4:I66)-1</f>
        <v>0.29495439637977872</v>
      </c>
      <c r="J64" s="166" cm="1">
        <f t="array" ref="J64">PRODUCT(1+Renditen!$J$4:J66)-1</f>
        <v>7.1662013941279801E-2</v>
      </c>
      <c r="L64" s="165">
        <v>45352</v>
      </c>
      <c r="M64" s="166" cm="1">
        <f t="array" ref="M64">PRODUCT(1+Renditen!$M$4:M66)-1</f>
        <v>-1.1037326001388847E-2</v>
      </c>
      <c r="N64" s="166" cm="1">
        <f t="array" ref="N64">PRODUCT(1+Renditen!$N$4:N66)-1</f>
        <v>-2.7130267247760687E-2</v>
      </c>
      <c r="O64" s="166" cm="1">
        <f t="array" ref="O64">PRODUCT(1+Renditen!$O$4:O66)-1</f>
        <v>-0.12328811820702201</v>
      </c>
      <c r="P64" s="166" cm="1">
        <f t="array" ref="P64">PRODUCT(1+Renditen!$P$4:P66)-1</f>
        <v>0.4331256400699286</v>
      </c>
      <c r="Q64" s="166" cm="1">
        <f t="array" ref="Q64">PRODUCT(1+Renditen!$Q$4:Q66)-1</f>
        <v>0.59990781771601043</v>
      </c>
      <c r="R64" s="166" cm="1">
        <f t="array" ref="R64">PRODUCT(1+Renditen!$R$4:R66)-1</f>
        <v>1.5516256779594118E-2</v>
      </c>
      <c r="S64" s="166" cm="1">
        <f t="array" ref="S64">PRODUCT(1+Renditen!$S$4:S66)-1</f>
        <v>1.1432421611221715</v>
      </c>
      <c r="T64" s="166" cm="1">
        <f t="array" ref="T64">PRODUCT(1+Renditen!$T$4:T66)-1</f>
        <v>0.25398537041188596</v>
      </c>
      <c r="U64" s="166" cm="1">
        <f t="array" ref="U64">PRODUCT(1+Renditen!$U$4:U66)-1</f>
        <v>4.3245068044260648E-2</v>
      </c>
    </row>
    <row r="65" spans="1:21" x14ac:dyDescent="0.25">
      <c r="A65" s="165">
        <v>45383</v>
      </c>
      <c r="B65" s="166" cm="1">
        <f t="array" ref="B65">PRODUCT(1+Renditen!$B$4:B67)-1</f>
        <v>-8.8641307175937767E-2</v>
      </c>
      <c r="C65" s="166" cm="1">
        <f t="array" ref="C65">PRODUCT(1+Renditen!$C$4:C67)-1</f>
        <v>-3.4854010863477169E-2</v>
      </c>
      <c r="D65" s="166" cm="1">
        <f t="array" ref="D65">PRODUCT(1+Renditen!$D$4:D67)-1</f>
        <v>-6.7821192470182479E-2</v>
      </c>
      <c r="E65" s="166" cm="1">
        <f t="array" ref="E65">PRODUCT(1+Renditen!$E$4:E67)-1</f>
        <v>0.35740907005479805</v>
      </c>
      <c r="F65" s="166" cm="1">
        <f t="array" ref="F65">PRODUCT(1+Renditen!$F$4:F67)-1</f>
        <v>0.56008677201109536</v>
      </c>
      <c r="G65" s="166" cm="1">
        <f t="array" ref="G65">PRODUCT(1+Renditen!$G$4:G67)-1</f>
        <v>-4.1932939919003931E-2</v>
      </c>
      <c r="H65" s="166" cm="1">
        <f t="array" ref="H65">PRODUCT(1+Renditen!$H$4:H67)-1</f>
        <v>0.56903207793227062</v>
      </c>
      <c r="I65" s="166" cm="1">
        <f t="array" ref="I65">PRODUCT(1+Renditen!$I$4:I67)-1</f>
        <v>0.2954723781383306</v>
      </c>
      <c r="J65" s="166" cm="1">
        <f t="array" ref="J65">PRODUCT(1+Renditen!$J$4:J67)-1</f>
        <v>6.1266892406049323E-2</v>
      </c>
      <c r="L65" s="165">
        <v>45383</v>
      </c>
      <c r="M65" s="166" cm="1">
        <f t="array" ref="M65">PRODUCT(1+Renditen!$M$4:M67)-1</f>
        <v>-9.6023259313916531E-3</v>
      </c>
      <c r="N65" s="166" cm="1">
        <f t="array" ref="N65">PRODUCT(1+Renditen!$N$4:N67)-1</f>
        <v>-2.02031261562855E-2</v>
      </c>
      <c r="O65" s="166" cm="1">
        <f t="array" ref="O65">PRODUCT(1+Renditen!$O$4:O67)-1</f>
        <v>-0.13129889785987137</v>
      </c>
      <c r="P65" s="166" cm="1">
        <f t="array" ref="P65">PRODUCT(1+Renditen!$P$4:P67)-1</f>
        <v>0.35808323386797913</v>
      </c>
      <c r="Q65" s="166" cm="1">
        <f t="array" ref="Q65">PRODUCT(1+Renditen!$Q$4:Q67)-1</f>
        <v>0.55494801457609522</v>
      </c>
      <c r="R65" s="166" cm="1">
        <f t="array" ref="R65">PRODUCT(1+Renditen!$R$4:R67)-1</f>
        <v>-2.9008694615462072E-2</v>
      </c>
      <c r="S65" s="166" cm="1">
        <f t="array" ref="S65">PRODUCT(1+Renditen!$S$4:S67)-1</f>
        <v>0.97055031189818752</v>
      </c>
      <c r="T65" s="166" cm="1">
        <f t="array" ref="T65">PRODUCT(1+Renditen!$T$4:T67)-1</f>
        <v>0.25649757423112463</v>
      </c>
      <c r="U65" s="166" cm="1">
        <f t="array" ref="U65">PRODUCT(1+Renditen!$U$4:U67)-1</f>
        <v>-4.4482154907453664E-3</v>
      </c>
    </row>
    <row r="66" spans="1:21" x14ac:dyDescent="0.25">
      <c r="A66" s="165">
        <v>45413</v>
      </c>
      <c r="B66" s="166" cm="1">
        <f t="array" ref="B66">PRODUCT(1+Renditen!$B$4:B68)-1</f>
        <v>-8.9314131950829267E-2</v>
      </c>
      <c r="C66" s="166" cm="1">
        <f t="array" ref="C66">PRODUCT(1+Renditen!$C$4:C68)-1</f>
        <v>-1.574412027857397E-2</v>
      </c>
      <c r="D66" s="166" cm="1">
        <f t="array" ref="D66">PRODUCT(1+Renditen!$D$4:D68)-1</f>
        <v>-1.6311417283374485E-2</v>
      </c>
      <c r="E66" s="166" cm="1">
        <f t="array" ref="E66">PRODUCT(1+Renditen!$E$4:E68)-1</f>
        <v>0.41917118274229148</v>
      </c>
      <c r="F66" s="166" cm="1">
        <f t="array" ref="F66">PRODUCT(1+Renditen!$F$4:F68)-1</f>
        <v>0.681929548905162</v>
      </c>
      <c r="G66" s="166" cm="1">
        <f t="array" ref="G66">PRODUCT(1+Renditen!$G$4:G68)-1</f>
        <v>-1.3957381764638899E-2</v>
      </c>
      <c r="H66" s="166" cm="1">
        <f t="array" ref="H66">PRODUCT(1+Renditen!$H$4:H68)-1</f>
        <v>0.49921314904148884</v>
      </c>
      <c r="I66" s="166" cm="1">
        <f t="array" ref="I66">PRODUCT(1+Renditen!$I$4:I68)-1</f>
        <v>0.31500810160065651</v>
      </c>
      <c r="J66" s="166" cm="1">
        <f t="array" ref="J66">PRODUCT(1+Renditen!$J$4:J68)-1</f>
        <v>0.11868143128521669</v>
      </c>
      <c r="L66" s="165">
        <v>45413</v>
      </c>
      <c r="M66" s="166" cm="1">
        <f t="array" ref="M66">PRODUCT(1+Renditen!$M$4:M68)-1</f>
        <v>-8.2536350619684118E-3</v>
      </c>
      <c r="N66" s="166" cm="1">
        <f t="array" ref="N66">PRODUCT(1+Renditen!$N$4:N68)-1</f>
        <v>-1.1386764760355605E-2</v>
      </c>
      <c r="O66" s="166" cm="1">
        <f t="array" ref="O66">PRODUCT(1+Renditen!$O$4:O68)-1</f>
        <v>-0.10751417980161815</v>
      </c>
      <c r="P66" s="166" cm="1">
        <f t="array" ref="P66">PRODUCT(1+Renditen!$P$4:P68)-1</f>
        <v>0.41993402338580754</v>
      </c>
      <c r="Q66" s="166" cm="1">
        <f t="array" ref="Q66">PRODUCT(1+Renditen!$Q$4:Q68)-1</f>
        <v>0.67627336567210028</v>
      </c>
      <c r="R66" s="166" cm="1">
        <f t="array" ref="R66">PRODUCT(1+Renditen!$R$4:R68)-1</f>
        <v>2.0288762274431882E-3</v>
      </c>
      <c r="S66" s="166" cm="1">
        <f t="array" ref="S66">PRODUCT(1+Renditen!$S$4:S68)-1</f>
        <v>1.2181537063778327</v>
      </c>
      <c r="T66" s="166" cm="1">
        <f t="array" ref="T66">PRODUCT(1+Renditen!$T$4:T68)-1</f>
        <v>0.25889412459774275</v>
      </c>
      <c r="U66" s="166" cm="1">
        <f t="array" ref="U66">PRODUCT(1+Renditen!$U$4:U68)-1</f>
        <v>8.3717612708072764E-2</v>
      </c>
    </row>
    <row r="67" spans="1:21" x14ac:dyDescent="0.25">
      <c r="A67" s="165">
        <v>45444</v>
      </c>
      <c r="B67" s="166" cm="1">
        <f t="array" ref="B67">PRODUCT(1+Renditen!$B$4:B69)-1</f>
        <v>-9.2260323014816903E-2</v>
      </c>
      <c r="C67" s="166" cm="1">
        <f t="array" ref="C67">PRODUCT(1+Renditen!$C$4:C69)-1</f>
        <v>-2.0629635504461064E-3</v>
      </c>
      <c r="D67" s="166" cm="1">
        <f t="array" ref="D67">PRODUCT(1+Renditen!$D$4:D69)-1</f>
        <v>2.6409084625527379E-2</v>
      </c>
      <c r="E67" s="166" cm="1">
        <f t="array" ref="E67">PRODUCT(1+Renditen!$E$4:E69)-1</f>
        <v>0.45252170553673543</v>
      </c>
      <c r="F67" s="166" cm="1">
        <f t="array" ref="F67">PRODUCT(1+Renditen!$F$4:F69)-1</f>
        <v>0.74584287176355812</v>
      </c>
      <c r="G67" s="166" cm="1">
        <f t="array" ref="G67">PRODUCT(1+Renditen!$G$4:G69)-1</f>
        <v>-9.6187942444033725E-3</v>
      </c>
      <c r="H67" s="166" cm="1">
        <f t="array" ref="H67">PRODUCT(1+Renditen!$H$4:H69)-1</f>
        <v>0.43820588035628272</v>
      </c>
      <c r="I67" s="166" cm="1">
        <f t="array" ref="I67">PRODUCT(1+Renditen!$I$4:I69)-1</f>
        <v>0.32434465912202137</v>
      </c>
      <c r="J67" s="166" cm="1">
        <f t="array" ref="J67">PRODUCT(1+Renditen!$J$4:J69)-1</f>
        <v>0.11901703571460232</v>
      </c>
      <c r="L67" s="165">
        <v>45444</v>
      </c>
      <c r="M67" s="166" cm="1">
        <f t="array" ref="M67">PRODUCT(1+Renditen!$M$4:M69)-1</f>
        <v>-6.9005851821212216E-3</v>
      </c>
      <c r="N67" s="166" cm="1">
        <f t="array" ref="N67">PRODUCT(1+Renditen!$N$4:N69)-1</f>
        <v>-3.9873186631441682E-3</v>
      </c>
      <c r="O67" s="166" cm="1">
        <f t="array" ref="O67">PRODUCT(1+Renditen!$O$4:O69)-1</f>
        <v>-8.3273128701332411E-2</v>
      </c>
      <c r="P67" s="166" cm="1">
        <f t="array" ref="P67">PRODUCT(1+Renditen!$P$4:P69)-1</f>
        <v>0.45333496571161147</v>
      </c>
      <c r="Q67" s="166" cm="1">
        <f t="array" ref="Q67">PRODUCT(1+Renditen!$Q$4:Q69)-1</f>
        <v>0.73941544218830835</v>
      </c>
      <c r="R67" s="166" cm="1">
        <f t="array" ref="R67">PRODUCT(1+Renditen!$R$4:R69)-1</f>
        <v>7.7941286273019994E-3</v>
      </c>
      <c r="S67" s="166" cm="1">
        <f t="array" ref="S67">PRODUCT(1+Renditen!$S$4:S69)-1</f>
        <v>1.3397155477256648</v>
      </c>
      <c r="T67" s="166" cm="1">
        <f t="array" ref="T67">PRODUCT(1+Renditen!$T$4:T69)-1</f>
        <v>0.25863982785868456</v>
      </c>
      <c r="U67" s="166" cm="1">
        <f t="array" ref="U67">PRODUCT(1+Renditen!$U$4:U69)-1</f>
        <v>0.17194411931633535</v>
      </c>
    </row>
  </sheetData>
  <phoneticPr fontId="28" type="noConversion"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Renditen</vt:lpstr>
      <vt:lpstr>Vermögen</vt:lpstr>
      <vt:lpstr>Strategie</vt:lpstr>
      <vt:lpstr>Lösungsraster</vt:lpstr>
      <vt:lpstr>Performance</vt:lpstr>
      <vt:lpstr>Gesamtvermögen</vt:lpstr>
      <vt:lpstr>Kumulative Renditen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Luzius Neubert</dc:creator>
  <cp:lastModifiedBy>Ivan Camilo Dorado Dorado</cp:lastModifiedBy>
  <dcterms:created xsi:type="dcterms:W3CDTF">2011-01-29T12:43:28Z</dcterms:created>
  <dcterms:modified xsi:type="dcterms:W3CDTF">2024-09-06T21:27:35Z</dcterms:modified>
</cp:coreProperties>
</file>